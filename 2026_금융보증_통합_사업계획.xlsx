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" sheetId="1" state="visible" r:id="rId1"/>
    <sheet xmlns:r="http://schemas.openxmlformats.org/officeDocument/2006/relationships" name="금융" sheetId="2" state="visible" r:id="rId2"/>
    <sheet xmlns:r="http://schemas.openxmlformats.org/officeDocument/2006/relationships" name="보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i val="1"/>
      <color rgb="00555555"/>
      <sz val="9"/>
    </font>
    <font>
      <name val="맑은 고딕"/>
      <b val="1"/>
      <color rgb="00FFFFFF"/>
      <sz val="10"/>
    </font>
    <font>
      <name val="맑은 고딕"/>
      <b val="1"/>
      <color rgb="00FFFFFF"/>
      <sz val="11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538135"/>
      </patternFill>
    </fill>
    <fill>
      <patternFill patternType="solid">
        <fgColor rgb="00833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3" fontId="5" fillId="7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/>
    </xf>
    <xf numFmtId="164" fontId="2" fillId="8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5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3" fontId="2" fillId="5" borderId="1" applyAlignment="1" pivotButton="0" quotePrefix="0" xfId="0">
      <alignment horizontal="right" vertical="center"/>
    </xf>
    <xf numFmtId="3" fontId="2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>
      <c r="A1" s="1" t="inlineStr">
        <is>
          <t>2026년 금융·보증 통합 사업계획</t>
        </is>
      </c>
    </row>
    <row r="2">
      <c r="A2" s="2" t="inlineStr">
        <is>
          <t>단위: 원 | 역년(CY) 2026 1~12월 | 금융·보증 탭 셀을 직접 참조 → 실적 입력 시 전부 자동 갱신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거래 규모  (금융=여신액 / 보증=결제액)</t>
        </is>
      </c>
    </row>
    <row r="5">
      <c r="A5" s="5" t="inlineStr">
        <is>
          <t>금융 여신액 (계획)</t>
        </is>
      </c>
      <c r="B5" s="6">
        <f>'금융'!B5</f>
        <v/>
      </c>
      <c r="C5" s="6">
        <f>'금융'!C5</f>
        <v/>
      </c>
      <c r="D5" s="6">
        <f>'금융'!D5</f>
        <v/>
      </c>
      <c r="E5" s="6">
        <f>'금융'!E5</f>
        <v/>
      </c>
      <c r="F5" s="6">
        <f>'금융'!F5</f>
        <v/>
      </c>
      <c r="G5" s="6">
        <f>'금융'!G5</f>
        <v/>
      </c>
      <c r="H5" s="6">
        <f>'금융'!H5</f>
        <v/>
      </c>
      <c r="I5" s="6">
        <f>'금융'!I5</f>
        <v/>
      </c>
      <c r="J5" s="6">
        <f>'금융'!J5</f>
        <v/>
      </c>
      <c r="K5" s="6">
        <f>'금융'!K5</f>
        <v/>
      </c>
      <c r="L5" s="6">
        <f>'금융'!L5</f>
        <v/>
      </c>
      <c r="M5" s="6">
        <f>'금융'!M5</f>
        <v/>
      </c>
      <c r="N5" s="7">
        <f>'금융'!N5</f>
        <v/>
      </c>
    </row>
    <row r="6">
      <c r="A6" s="8" t="inlineStr">
        <is>
          <t>금융 여신액 (실적)</t>
        </is>
      </c>
      <c r="B6" s="9">
        <f>'금융'!B9</f>
        <v/>
      </c>
      <c r="C6" s="9">
        <f>'금융'!C9</f>
        <v/>
      </c>
      <c r="D6" s="9">
        <f>'금융'!D9</f>
        <v/>
      </c>
      <c r="E6" s="9">
        <f>'금융'!E9</f>
        <v/>
      </c>
      <c r="F6" s="9">
        <f>'금융'!F9</f>
        <v/>
      </c>
      <c r="G6" s="9">
        <f>'금융'!G9</f>
        <v/>
      </c>
      <c r="H6" s="9">
        <f>'금융'!H9</f>
        <v/>
      </c>
      <c r="I6" s="9">
        <f>'금융'!I9</f>
        <v/>
      </c>
      <c r="J6" s="9">
        <f>'금융'!J9</f>
        <v/>
      </c>
      <c r="K6" s="9">
        <f>'금융'!K9</f>
        <v/>
      </c>
      <c r="L6" s="9">
        <f>'금융'!L9</f>
        <v/>
      </c>
      <c r="M6" s="9">
        <f>'금융'!M9</f>
        <v/>
      </c>
      <c r="N6" s="7">
        <f>'금융'!N9</f>
        <v/>
      </c>
    </row>
    <row r="7">
      <c r="A7" s="10" t="inlineStr">
        <is>
          <t>금융 여신액 달성률</t>
        </is>
      </c>
      <c r="B7" s="11">
        <f>IF(B6=0,"",IFERROR(B6/B5,""))</f>
        <v/>
      </c>
      <c r="C7" s="11">
        <f>IF(C6=0,"",IFERROR(C6/C5,""))</f>
        <v/>
      </c>
      <c r="D7" s="11">
        <f>IF(D6=0,"",IFERROR(D6/D5,""))</f>
        <v/>
      </c>
      <c r="E7" s="11">
        <f>IF(E6=0,"",IFERROR(E6/E5,""))</f>
        <v/>
      </c>
      <c r="F7" s="11">
        <f>IF(F6=0,"",IFERROR(F6/F5,""))</f>
        <v/>
      </c>
      <c r="G7" s="11">
        <f>IF(G6=0,"",IFERROR(G6/G5,""))</f>
        <v/>
      </c>
      <c r="H7" s="11">
        <f>IF(H6=0,"",IFERROR(H6/H5,""))</f>
        <v/>
      </c>
      <c r="I7" s="11">
        <f>IF(I6=0,"",IFERROR(I6/I5,""))</f>
        <v/>
      </c>
      <c r="J7" s="11">
        <f>IF(J6=0,"",IFERROR(J6/J5,""))</f>
        <v/>
      </c>
      <c r="K7" s="11">
        <f>IF(K6=0,"",IFERROR(K6/K5,""))</f>
        <v/>
      </c>
      <c r="L7" s="11">
        <f>IF(L6=0,"",IFERROR(L6/L5,""))</f>
        <v/>
      </c>
      <c r="M7" s="11">
        <f>IF(M6=0,"",IFERROR(M6/M5,""))</f>
        <v/>
      </c>
      <c r="N7" s="12">
        <f>IF(N6=0,"",IFERROR(N6/N5,""))</f>
        <v/>
      </c>
    </row>
    <row r="8">
      <c r="A8" s="5" t="inlineStr">
        <is>
          <t>보증 결제액 (계획)</t>
        </is>
      </c>
      <c r="B8" s="6">
        <f>'보증'!B5</f>
        <v/>
      </c>
      <c r="C8" s="6">
        <f>'보증'!C5</f>
        <v/>
      </c>
      <c r="D8" s="6">
        <f>'보증'!D5</f>
        <v/>
      </c>
      <c r="E8" s="6">
        <f>'보증'!E5</f>
        <v/>
      </c>
      <c r="F8" s="6">
        <f>'보증'!F5</f>
        <v/>
      </c>
      <c r="G8" s="6">
        <f>'보증'!G5</f>
        <v/>
      </c>
      <c r="H8" s="6">
        <f>'보증'!H5</f>
        <v/>
      </c>
      <c r="I8" s="6">
        <f>'보증'!I5</f>
        <v/>
      </c>
      <c r="J8" s="6">
        <f>'보증'!J5</f>
        <v/>
      </c>
      <c r="K8" s="6">
        <f>'보증'!K5</f>
        <v/>
      </c>
      <c r="L8" s="6">
        <f>'보증'!L5</f>
        <v/>
      </c>
      <c r="M8" s="6">
        <f>'보증'!M5</f>
        <v/>
      </c>
      <c r="N8" s="7">
        <f>'보증'!N5</f>
        <v/>
      </c>
    </row>
    <row r="9">
      <c r="A9" s="8" t="inlineStr">
        <is>
          <t>보증 결제액 (실적)</t>
        </is>
      </c>
      <c r="B9" s="9">
        <f>'보증'!B14</f>
        <v/>
      </c>
      <c r="C9" s="9">
        <f>'보증'!C14</f>
        <v/>
      </c>
      <c r="D9" s="9">
        <f>'보증'!D14</f>
        <v/>
      </c>
      <c r="E9" s="9">
        <f>'보증'!E14</f>
        <v/>
      </c>
      <c r="F9" s="9">
        <f>'보증'!F14</f>
        <v/>
      </c>
      <c r="G9" s="9">
        <f>'보증'!G14</f>
        <v/>
      </c>
      <c r="H9" s="9">
        <f>'보증'!H14</f>
        <v/>
      </c>
      <c r="I9" s="9">
        <f>'보증'!I14</f>
        <v/>
      </c>
      <c r="J9" s="9">
        <f>'보증'!J14</f>
        <v/>
      </c>
      <c r="K9" s="9">
        <f>'보증'!K14</f>
        <v/>
      </c>
      <c r="L9" s="9">
        <f>'보증'!L14</f>
        <v/>
      </c>
      <c r="M9" s="9">
        <f>'보증'!M14</f>
        <v/>
      </c>
      <c r="N9" s="7">
        <f>'보증'!N14</f>
        <v/>
      </c>
    </row>
    <row r="10">
      <c r="A10" s="10" t="inlineStr">
        <is>
          <t>보증 결제액 달성률</t>
        </is>
      </c>
      <c r="B10" s="11">
        <f>IF(B9=0,"",IFERROR(B9/B8,""))</f>
        <v/>
      </c>
      <c r="C10" s="11">
        <f>IF(C9=0,"",IFERROR(C9/C8,""))</f>
        <v/>
      </c>
      <c r="D10" s="11">
        <f>IF(D9=0,"",IFERROR(D9/D8,""))</f>
        <v/>
      </c>
      <c r="E10" s="11">
        <f>IF(E9=0,"",IFERROR(E9/E8,""))</f>
        <v/>
      </c>
      <c r="F10" s="11">
        <f>IF(F9=0,"",IFERROR(F9/F8,""))</f>
        <v/>
      </c>
      <c r="G10" s="11">
        <f>IF(G9=0,"",IFERROR(G9/G8,""))</f>
        <v/>
      </c>
      <c r="H10" s="11">
        <f>IF(H9=0,"",IFERROR(H9/H8,""))</f>
        <v/>
      </c>
      <c r="I10" s="11">
        <f>IF(I9=0,"",IFERROR(I9/I8,""))</f>
        <v/>
      </c>
      <c r="J10" s="11">
        <f>IF(J9=0,"",IFERROR(J9/J8,""))</f>
        <v/>
      </c>
      <c r="K10" s="11">
        <f>IF(K9=0,"",IFERROR(K9/K8,""))</f>
        <v/>
      </c>
      <c r="L10" s="11">
        <f>IF(L9=0,"",IFERROR(L9/L8,""))</f>
        <v/>
      </c>
      <c r="M10" s="11">
        <f>IF(M9=0,"",IFERROR(M9/M8,""))</f>
        <v/>
      </c>
      <c r="N10" s="12">
        <f>IF(N9=0,"",IFERROR(N9/N8,""))</f>
        <v/>
      </c>
    </row>
    <row r="12">
      <c r="A12" s="13" t="inlineStr">
        <is>
          <t>Ⅱ. 매출  (금융=본업+광고 / 보증=가입+광고)</t>
        </is>
      </c>
    </row>
    <row r="13">
      <c r="A13" s="5" t="inlineStr">
        <is>
          <t>금융 매출 (계획)</t>
        </is>
      </c>
      <c r="B13" s="6">
        <f>'금융'!B16</f>
        <v/>
      </c>
      <c r="C13" s="6">
        <f>'금융'!C16</f>
        <v/>
      </c>
      <c r="D13" s="6">
        <f>'금융'!D16</f>
        <v/>
      </c>
      <c r="E13" s="6">
        <f>'금융'!E16</f>
        <v/>
      </c>
      <c r="F13" s="6">
        <f>'금융'!F16</f>
        <v/>
      </c>
      <c r="G13" s="6">
        <f>'금융'!G16</f>
        <v/>
      </c>
      <c r="H13" s="6">
        <f>'금융'!H16</f>
        <v/>
      </c>
      <c r="I13" s="6">
        <f>'금융'!I16</f>
        <v/>
      </c>
      <c r="J13" s="6">
        <f>'금융'!J16</f>
        <v/>
      </c>
      <c r="K13" s="6">
        <f>'금융'!K16</f>
        <v/>
      </c>
      <c r="L13" s="6">
        <f>'금융'!L16</f>
        <v/>
      </c>
      <c r="M13" s="6">
        <f>'금융'!M16</f>
        <v/>
      </c>
      <c r="N13" s="7">
        <f>'금융'!N16</f>
        <v/>
      </c>
    </row>
    <row r="14">
      <c r="A14" s="8" t="inlineStr">
        <is>
          <t>금융 매출 (실적)</t>
        </is>
      </c>
      <c r="B14" s="9">
        <f>'금융'!B21</f>
        <v/>
      </c>
      <c r="C14" s="9">
        <f>'금융'!C21</f>
        <v/>
      </c>
      <c r="D14" s="9">
        <f>'금융'!D21</f>
        <v/>
      </c>
      <c r="E14" s="9">
        <f>'금융'!E21</f>
        <v/>
      </c>
      <c r="F14" s="9">
        <f>'금융'!F21</f>
        <v/>
      </c>
      <c r="G14" s="9">
        <f>'금융'!G21</f>
        <v/>
      </c>
      <c r="H14" s="9">
        <f>'금융'!H21</f>
        <v/>
      </c>
      <c r="I14" s="9">
        <f>'금융'!I21</f>
        <v/>
      </c>
      <c r="J14" s="9">
        <f>'금융'!J21</f>
        <v/>
      </c>
      <c r="K14" s="9">
        <f>'금융'!K21</f>
        <v/>
      </c>
      <c r="L14" s="9">
        <f>'금융'!L21</f>
        <v/>
      </c>
      <c r="M14" s="9">
        <f>'금융'!M21</f>
        <v/>
      </c>
      <c r="N14" s="7">
        <f>'금융'!N21</f>
        <v/>
      </c>
    </row>
    <row r="15">
      <c r="A15" s="10" t="inlineStr">
        <is>
          <t>금융 매출 달성률</t>
        </is>
      </c>
      <c r="B15" s="11">
        <f>IF(B14=0,"",IFERROR(B14/B13,""))</f>
        <v/>
      </c>
      <c r="C15" s="11">
        <f>IF(C14=0,"",IFERROR(C14/C13,""))</f>
        <v/>
      </c>
      <c r="D15" s="11">
        <f>IF(D14=0,"",IFERROR(D14/D13,""))</f>
        <v/>
      </c>
      <c r="E15" s="11">
        <f>IF(E14=0,"",IFERROR(E14/E13,""))</f>
        <v/>
      </c>
      <c r="F15" s="11">
        <f>IF(F14=0,"",IFERROR(F14/F13,""))</f>
        <v/>
      </c>
      <c r="G15" s="11">
        <f>IF(G14=0,"",IFERROR(G14/G13,""))</f>
        <v/>
      </c>
      <c r="H15" s="11">
        <f>IF(H14=0,"",IFERROR(H14/H13,""))</f>
        <v/>
      </c>
      <c r="I15" s="11">
        <f>IF(I14=0,"",IFERROR(I14/I13,""))</f>
        <v/>
      </c>
      <c r="J15" s="11">
        <f>IF(J14=0,"",IFERROR(J14/J13,""))</f>
        <v/>
      </c>
      <c r="K15" s="11">
        <f>IF(K14=0,"",IFERROR(K14/K13,""))</f>
        <v/>
      </c>
      <c r="L15" s="11">
        <f>IF(L14=0,"",IFERROR(L14/L13,""))</f>
        <v/>
      </c>
      <c r="M15" s="11">
        <f>IF(M14=0,"",IFERROR(M14/M13,""))</f>
        <v/>
      </c>
      <c r="N15" s="12">
        <f>IF(N14=0,"",IFERROR(N14/N13,""))</f>
        <v/>
      </c>
    </row>
    <row r="16">
      <c r="A16" s="5" t="inlineStr">
        <is>
          <t>보증 매출 (계획)</t>
        </is>
      </c>
      <c r="B16" s="6">
        <f>'보증'!B5</f>
        <v/>
      </c>
      <c r="C16" s="6">
        <f>'보증'!C5</f>
        <v/>
      </c>
      <c r="D16" s="6">
        <f>'보증'!D5</f>
        <v/>
      </c>
      <c r="E16" s="6">
        <f>'보증'!E5</f>
        <v/>
      </c>
      <c r="F16" s="6">
        <f>'보증'!F5</f>
        <v/>
      </c>
      <c r="G16" s="6">
        <f>'보증'!G5</f>
        <v/>
      </c>
      <c r="H16" s="6">
        <f>'보증'!H5</f>
        <v/>
      </c>
      <c r="I16" s="6">
        <f>'보증'!I5</f>
        <v/>
      </c>
      <c r="J16" s="6">
        <f>'보증'!J5</f>
        <v/>
      </c>
      <c r="K16" s="6">
        <f>'보증'!K5</f>
        <v/>
      </c>
      <c r="L16" s="6">
        <f>'보증'!L5</f>
        <v/>
      </c>
      <c r="M16" s="6">
        <f>'보증'!M5</f>
        <v/>
      </c>
      <c r="N16" s="7">
        <f>'보증'!N5</f>
        <v/>
      </c>
    </row>
    <row r="17">
      <c r="A17" s="8" t="inlineStr">
        <is>
          <t>보증 매출 (실적)</t>
        </is>
      </c>
      <c r="B17" s="9">
        <f>'보증'!B14</f>
        <v/>
      </c>
      <c r="C17" s="9">
        <f>'보증'!C14</f>
        <v/>
      </c>
      <c r="D17" s="9">
        <f>'보증'!D14</f>
        <v/>
      </c>
      <c r="E17" s="9">
        <f>'보증'!E14</f>
        <v/>
      </c>
      <c r="F17" s="9">
        <f>'보증'!F14</f>
        <v/>
      </c>
      <c r="G17" s="9">
        <f>'보증'!G14</f>
        <v/>
      </c>
      <c r="H17" s="9">
        <f>'보증'!H14</f>
        <v/>
      </c>
      <c r="I17" s="9">
        <f>'보증'!I14</f>
        <v/>
      </c>
      <c r="J17" s="9">
        <f>'보증'!J14</f>
        <v/>
      </c>
      <c r="K17" s="9">
        <f>'보증'!K14</f>
        <v/>
      </c>
      <c r="L17" s="9">
        <f>'보증'!L14</f>
        <v/>
      </c>
      <c r="M17" s="9">
        <f>'보증'!M14</f>
        <v/>
      </c>
      <c r="N17" s="7">
        <f>'보증'!N14</f>
        <v/>
      </c>
    </row>
    <row r="18">
      <c r="A18" s="10" t="inlineStr">
        <is>
          <t>보증 매출 달성률</t>
        </is>
      </c>
      <c r="B18" s="11">
        <f>IF(B17=0,"",IFERROR(B17/B16,""))</f>
        <v/>
      </c>
      <c r="C18" s="11">
        <f>IF(C17=0,"",IFERROR(C17/C16,""))</f>
        <v/>
      </c>
      <c r="D18" s="11">
        <f>IF(D17=0,"",IFERROR(D17/D16,""))</f>
        <v/>
      </c>
      <c r="E18" s="11">
        <f>IF(E17=0,"",IFERROR(E17/E16,""))</f>
        <v/>
      </c>
      <c r="F18" s="11">
        <f>IF(F17=0,"",IFERROR(F17/F16,""))</f>
        <v/>
      </c>
      <c r="G18" s="11">
        <f>IF(G17=0,"",IFERROR(G17/G16,""))</f>
        <v/>
      </c>
      <c r="H18" s="11">
        <f>IF(H17=0,"",IFERROR(H17/H16,""))</f>
        <v/>
      </c>
      <c r="I18" s="11">
        <f>IF(I17=0,"",IFERROR(I17/I16,""))</f>
        <v/>
      </c>
      <c r="J18" s="11">
        <f>IF(J17=0,"",IFERROR(J17/J16,""))</f>
        <v/>
      </c>
      <c r="K18" s="11">
        <f>IF(K17=0,"",IFERROR(K17/K16,""))</f>
        <v/>
      </c>
      <c r="L18" s="11">
        <f>IF(L17=0,"",IFERROR(L17/L16,""))</f>
        <v/>
      </c>
      <c r="M18" s="11">
        <f>IF(M17=0,"",IFERROR(M17/M16,""))</f>
        <v/>
      </c>
      <c r="N18" s="12">
        <f>IF(N17=0,"",IFERROR(N17/N16,""))</f>
        <v/>
      </c>
    </row>
    <row r="20">
      <c r="A20" s="14" t="inlineStr">
        <is>
          <t>Ⅲ. 통합 매출 합계  (금융 + 보증)</t>
        </is>
      </c>
    </row>
    <row r="21">
      <c r="A21" s="15" t="inlineStr">
        <is>
          <t>통합 매출 (계획)</t>
        </is>
      </c>
      <c r="B21" s="7">
        <f>B13+B16</f>
        <v/>
      </c>
      <c r="C21" s="7">
        <f>C13+C16</f>
        <v/>
      </c>
      <c r="D21" s="7">
        <f>D13+D16</f>
        <v/>
      </c>
      <c r="E21" s="7">
        <f>E13+E16</f>
        <v/>
      </c>
      <c r="F21" s="7">
        <f>F13+F16</f>
        <v/>
      </c>
      <c r="G21" s="7">
        <f>G13+G16</f>
        <v/>
      </c>
      <c r="H21" s="7">
        <f>H13+H16</f>
        <v/>
      </c>
      <c r="I21" s="7">
        <f>I13+I16</f>
        <v/>
      </c>
      <c r="J21" s="7">
        <f>J13+J16</f>
        <v/>
      </c>
      <c r="K21" s="7">
        <f>K13+K16</f>
        <v/>
      </c>
      <c r="L21" s="7">
        <f>L13+L16</f>
        <v/>
      </c>
      <c r="M21" s="7">
        <f>M13+M16</f>
        <v/>
      </c>
      <c r="N21" s="7">
        <f>N13+N16</f>
        <v/>
      </c>
    </row>
    <row r="22">
      <c r="A22" s="15" t="inlineStr">
        <is>
          <t>통합 매출 (실적)</t>
        </is>
      </c>
      <c r="B22" s="7">
        <f>B14+B17</f>
        <v/>
      </c>
      <c r="C22" s="7">
        <f>C14+C17</f>
        <v/>
      </c>
      <c r="D22" s="7">
        <f>D14+D17</f>
        <v/>
      </c>
      <c r="E22" s="7">
        <f>E14+E17</f>
        <v/>
      </c>
      <c r="F22" s="7">
        <f>F14+F17</f>
        <v/>
      </c>
      <c r="G22" s="7">
        <f>G14+G17</f>
        <v/>
      </c>
      <c r="H22" s="7">
        <f>H14+H17</f>
        <v/>
      </c>
      <c r="I22" s="7">
        <f>I14+I17</f>
        <v/>
      </c>
      <c r="J22" s="7">
        <f>J14+J17</f>
        <v/>
      </c>
      <c r="K22" s="7">
        <f>K14+K17</f>
        <v/>
      </c>
      <c r="L22" s="7">
        <f>L14+L17</f>
        <v/>
      </c>
      <c r="M22" s="7">
        <f>M14+M17</f>
        <v/>
      </c>
      <c r="N22" s="7">
        <f>N14+N17</f>
        <v/>
      </c>
    </row>
    <row r="23">
      <c r="A23" s="10" t="inlineStr">
        <is>
          <t>통합 매출 달성률</t>
        </is>
      </c>
      <c r="B23" s="11">
        <f>IF(B22=0,"",IFERROR(B22/B21,""))</f>
        <v/>
      </c>
      <c r="C23" s="11">
        <f>IF(C22=0,"",IFERROR(C22/C21,""))</f>
        <v/>
      </c>
      <c r="D23" s="11">
        <f>IF(D22=0,"",IFERROR(D22/D21,""))</f>
        <v/>
      </c>
      <c r="E23" s="11">
        <f>IF(E22=0,"",IFERROR(E22/E21,""))</f>
        <v/>
      </c>
      <c r="F23" s="11">
        <f>IF(F22=0,"",IFERROR(F22/F21,""))</f>
        <v/>
      </c>
      <c r="G23" s="11">
        <f>IF(G22=0,"",IFERROR(G22/G21,""))</f>
        <v/>
      </c>
      <c r="H23" s="11">
        <f>IF(H22=0,"",IFERROR(H22/H21,""))</f>
        <v/>
      </c>
      <c r="I23" s="11">
        <f>IF(I22=0,"",IFERROR(I22/I21,""))</f>
        <v/>
      </c>
      <c r="J23" s="11">
        <f>IF(J22=0,"",IFERROR(J22/J21,""))</f>
        <v/>
      </c>
      <c r="K23" s="11">
        <f>IF(K22=0,"",IFERROR(K22/K21,""))</f>
        <v/>
      </c>
      <c r="L23" s="11">
        <f>IF(L22=0,"",IFERROR(L22/L21,""))</f>
        <v/>
      </c>
      <c r="M23" s="11">
        <f>IF(M22=0,"",IFERROR(M22/M21,""))</f>
        <v/>
      </c>
      <c r="N23" s="12">
        <f>IF(N22=0,"",IFERROR(N22/N21,""))</f>
        <v/>
      </c>
    </row>
  </sheetData>
  <mergeCells count="5">
    <mergeCell ref="A12:N12"/>
    <mergeCell ref="A4:N4"/>
    <mergeCell ref="A20:N20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>
      <c r="A1" s="1" t="inlineStr">
        <is>
          <t>2026년 금융 사업계획 (CY26)</t>
        </is>
      </c>
    </row>
    <row r="2">
      <c r="A2" s="2" t="inlineStr">
        <is>
          <t>단위: 원 | 메인=여신액 | 회색=실적 입력 칸 (입력 시 합계·달성률 자동 계산) | 노란칸=자동 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여신액 (메인)</t>
        </is>
      </c>
    </row>
    <row r="5">
      <c r="A5" s="5" t="inlineStr">
        <is>
          <t>총 여신액 (계획)</t>
        </is>
      </c>
      <c r="B5" s="6">
        <f>B6+B7+B8</f>
        <v/>
      </c>
      <c r="C5" s="6">
        <f>C6+C7+C8</f>
        <v/>
      </c>
      <c r="D5" s="6">
        <f>D6+D7+D8</f>
        <v/>
      </c>
      <c r="E5" s="6">
        <f>E6+E7+E8</f>
        <v/>
      </c>
      <c r="F5" s="6">
        <f>F6+F7+F8</f>
        <v/>
      </c>
      <c r="G5" s="6">
        <f>G6+G7+G8</f>
        <v/>
      </c>
      <c r="H5" s="6">
        <f>H6+H7+H8</f>
        <v/>
      </c>
      <c r="I5" s="6">
        <f>I6+I7+I8</f>
        <v/>
      </c>
      <c r="J5" s="6">
        <f>J6+J7+J8</f>
        <v/>
      </c>
      <c r="K5" s="6">
        <f>K6+K7+K8</f>
        <v/>
      </c>
      <c r="L5" s="6">
        <f>L6+L7+L8</f>
        <v/>
      </c>
      <c r="M5" s="6">
        <f>M6+M7+M8</f>
        <v/>
      </c>
      <c r="N5" s="7">
        <f>SUM(B5:M5)</f>
        <v/>
      </c>
    </row>
    <row r="6">
      <c r="A6" s="16" t="inlineStr">
        <is>
          <t xml:space="preserve">      H/S 금융</t>
        </is>
      </c>
      <c r="B6" s="17" t="n">
        <v>10780000000</v>
      </c>
      <c r="C6" s="17" t="n">
        <v>10500000000</v>
      </c>
      <c r="D6" s="17" t="n">
        <v>10640000000</v>
      </c>
      <c r="E6" s="17" t="n">
        <v>10640000000</v>
      </c>
      <c r="F6" s="17" t="n">
        <v>9450000000</v>
      </c>
      <c r="G6" s="17" t="n">
        <v>9940000000</v>
      </c>
      <c r="H6" s="17" t="n">
        <v>15330000000</v>
      </c>
      <c r="I6" s="17" t="n">
        <v>13300000000</v>
      </c>
      <c r="J6" s="17" t="n">
        <v>12880000000</v>
      </c>
      <c r="K6" s="17" t="n">
        <v>12530000000</v>
      </c>
      <c r="L6" s="17" t="n">
        <v>10710000000</v>
      </c>
      <c r="M6" s="17" t="n">
        <v>11900000000</v>
      </c>
      <c r="N6" s="18">
        <f>SUM(B6:M6)</f>
        <v/>
      </c>
    </row>
    <row r="7">
      <c r="A7" s="16" t="inlineStr">
        <is>
          <t xml:space="preserve">      일반 금융</t>
        </is>
      </c>
      <c r="B7" s="17" t="n">
        <v>4620000000</v>
      </c>
      <c r="C7" s="17" t="n">
        <v>4500000000</v>
      </c>
      <c r="D7" s="17" t="n">
        <v>4560000000</v>
      </c>
      <c r="E7" s="17" t="n">
        <v>4560000000</v>
      </c>
      <c r="F7" s="17" t="n">
        <v>4050000000</v>
      </c>
      <c r="G7" s="17" t="n">
        <v>4260000000</v>
      </c>
      <c r="H7" s="17" t="n">
        <v>6570000000</v>
      </c>
      <c r="I7" s="17" t="n">
        <v>5700000000</v>
      </c>
      <c r="J7" s="17" t="n">
        <v>5520000000</v>
      </c>
      <c r="K7" s="17" t="n">
        <v>5370000000</v>
      </c>
      <c r="L7" s="17" t="n">
        <v>4590000000</v>
      </c>
      <c r="M7" s="17" t="n">
        <v>5100000000</v>
      </c>
      <c r="N7" s="18">
        <f>SUM(B7:M7)</f>
        <v/>
      </c>
    </row>
    <row r="8">
      <c r="A8" s="16" t="inlineStr">
        <is>
          <t xml:space="preserve">      신규 소매금융</t>
        </is>
      </c>
      <c r="B8" s="17" t="n">
        <v>0</v>
      </c>
      <c r="C8" s="17" t="n">
        <v>100000000</v>
      </c>
      <c r="D8" s="17" t="n">
        <v>300000000</v>
      </c>
      <c r="E8" s="17" t="n">
        <v>1400000000</v>
      </c>
      <c r="F8" s="17" t="n">
        <v>2100000000</v>
      </c>
      <c r="G8" s="17" t="n">
        <v>4000000000</v>
      </c>
      <c r="H8" s="17" t="n">
        <v>8100000000</v>
      </c>
      <c r="I8" s="17" t="n">
        <v>7400000000</v>
      </c>
      <c r="J8" s="17" t="n">
        <v>6700000000</v>
      </c>
      <c r="K8" s="17" t="n">
        <v>6400000000</v>
      </c>
      <c r="L8" s="17" t="n">
        <v>4900000000</v>
      </c>
      <c r="M8" s="17" t="n">
        <v>6600000000</v>
      </c>
      <c r="N8" s="18">
        <f>SUM(B8:M8)</f>
        <v/>
      </c>
    </row>
    <row r="9">
      <c r="A9" s="8" t="inlineStr">
        <is>
          <t>총 여신액 (실적)</t>
        </is>
      </c>
      <c r="B9" s="9">
        <f>B10+B11+B12</f>
        <v/>
      </c>
      <c r="C9" s="9">
        <f>C10+C11+C12</f>
        <v/>
      </c>
      <c r="D9" s="9">
        <f>D10+D11+D12</f>
        <v/>
      </c>
      <c r="E9" s="9">
        <f>E10+E11+E12</f>
        <v/>
      </c>
      <c r="F9" s="9">
        <f>F10+F11+F12</f>
        <v/>
      </c>
      <c r="G9" s="9">
        <f>G10+G11+G12</f>
        <v/>
      </c>
      <c r="H9" s="9">
        <f>H10+H11+H12</f>
        <v/>
      </c>
      <c r="I9" s="9">
        <f>I10+I11+I12</f>
        <v/>
      </c>
      <c r="J9" s="9">
        <f>J10+J11+J12</f>
        <v/>
      </c>
      <c r="K9" s="9">
        <f>K10+K11+K12</f>
        <v/>
      </c>
      <c r="L9" s="9">
        <f>L10+L11+L12</f>
        <v/>
      </c>
      <c r="M9" s="9">
        <f>M10+M11+M12</f>
        <v/>
      </c>
      <c r="N9" s="7">
        <f>SUM(B9:M9)</f>
        <v/>
      </c>
    </row>
    <row r="10">
      <c r="A10" s="19" t="inlineStr">
        <is>
          <t xml:space="preserve">      H/S 금융</t>
        </is>
      </c>
      <c r="B10" s="20" t="n">
        <v>11441200000</v>
      </c>
      <c r="C10" s="20" t="n">
        <v>9393800000</v>
      </c>
      <c r="D10" s="20" t="n">
        <v>12164200000</v>
      </c>
      <c r="E10" s="20" t="n">
        <v>13175600000</v>
      </c>
      <c r="F10" s="20" t="n">
        <v>14374700000</v>
      </c>
      <c r="G10" s="20" t="n">
        <v>9353600000</v>
      </c>
      <c r="H10" s="20" t="n"/>
      <c r="I10" s="20" t="n"/>
      <c r="J10" s="20" t="n"/>
      <c r="K10" s="20" t="n"/>
      <c r="L10" s="20" t="n"/>
      <c r="M10" s="20" t="n"/>
      <c r="N10" s="18">
        <f>SUM(B10:M10)</f>
        <v/>
      </c>
    </row>
    <row r="11">
      <c r="A11" s="19" t="inlineStr">
        <is>
          <t xml:space="preserve">      일반 금융</t>
        </is>
      </c>
      <c r="B11" s="20" t="n">
        <v>5109600000</v>
      </c>
      <c r="C11" s="20" t="n">
        <v>3948500000</v>
      </c>
      <c r="D11" s="20" t="n">
        <v>6257500000</v>
      </c>
      <c r="E11" s="20" t="n">
        <v>5288100000</v>
      </c>
      <c r="F11" s="20" t="n">
        <v>4279400000</v>
      </c>
      <c r="G11" s="20" t="n">
        <v>2377700000</v>
      </c>
      <c r="H11" s="20" t="n"/>
      <c r="I11" s="20" t="n"/>
      <c r="J11" s="20" t="n"/>
      <c r="K11" s="20" t="n"/>
      <c r="L11" s="20" t="n"/>
      <c r="M11" s="20" t="n"/>
      <c r="N11" s="18">
        <f>SUM(B11:M11)</f>
        <v/>
      </c>
    </row>
    <row r="12">
      <c r="A12" s="19" t="inlineStr">
        <is>
          <t xml:space="preserve">      신규 소매금융</t>
        </is>
      </c>
      <c r="B12" s="20" t="n">
        <v>147700000</v>
      </c>
      <c r="C12" s="20" t="n">
        <v>21000000</v>
      </c>
      <c r="D12" s="20" t="n">
        <v>26400000</v>
      </c>
      <c r="E12" s="20" t="n">
        <v>27000000</v>
      </c>
      <c r="F12" s="20" t="n">
        <v>40000000</v>
      </c>
      <c r="G12" s="20" t="n"/>
      <c r="H12" s="20" t="n"/>
      <c r="I12" s="20" t="n"/>
      <c r="J12" s="20" t="n"/>
      <c r="K12" s="20" t="n"/>
      <c r="L12" s="20" t="n"/>
      <c r="M12" s="20" t="n"/>
      <c r="N12" s="18">
        <f>SUM(B12:M12)</f>
        <v/>
      </c>
    </row>
    <row r="13">
      <c r="A13" s="10" t="inlineStr">
        <is>
          <t>여신액 달성률</t>
        </is>
      </c>
      <c r="B13" s="11">
        <f>IF(B9=0,"",IFERROR(B9/B5,""))</f>
        <v/>
      </c>
      <c r="C13" s="11">
        <f>IF(C9=0,"",IFERROR(C9/C5,""))</f>
        <v/>
      </c>
      <c r="D13" s="11">
        <f>IF(D9=0,"",IFERROR(D9/D5,""))</f>
        <v/>
      </c>
      <c r="E13" s="11">
        <f>IF(E9=0,"",IFERROR(E9/E5,""))</f>
        <v/>
      </c>
      <c r="F13" s="11">
        <f>IF(F9=0,"",IFERROR(F9/F5,""))</f>
        <v/>
      </c>
      <c r="G13" s="11">
        <f>IF(G9=0,"",IFERROR(G9/G5,""))</f>
        <v/>
      </c>
      <c r="H13" s="11">
        <f>IF(H9=0,"",IFERROR(H9/H5,""))</f>
        <v/>
      </c>
      <c r="I13" s="11">
        <f>IF(I9=0,"",IFERROR(I9/I5,""))</f>
        <v/>
      </c>
      <c r="J13" s="11">
        <f>IF(J9=0,"",IFERROR(J9/J5,""))</f>
        <v/>
      </c>
      <c r="K13" s="11">
        <f>IF(K9=0,"",IFERROR(K9/K5,""))</f>
        <v/>
      </c>
      <c r="L13" s="11">
        <f>IF(L9=0,"",IFERROR(L9/L5,""))</f>
        <v/>
      </c>
      <c r="M13" s="11">
        <f>IF(M9=0,"",IFERROR(M9/M5,""))</f>
        <v/>
      </c>
      <c r="N13" s="12">
        <f>IF(N9=0,"",IFERROR(N9/N5,""))</f>
        <v/>
      </c>
    </row>
    <row r="15">
      <c r="A15" s="13" t="inlineStr">
        <is>
          <t>Ⅱ. 매출 (본업 + 연계 광고)</t>
        </is>
      </c>
    </row>
    <row r="16">
      <c r="A16" s="5" t="inlineStr">
        <is>
          <t>총 매출 (계획)</t>
        </is>
      </c>
      <c r="B16" s="6">
        <f>B17+B18</f>
        <v/>
      </c>
      <c r="C16" s="6">
        <f>C17+C18</f>
        <v/>
      </c>
      <c r="D16" s="6">
        <f>D17+D18</f>
        <v/>
      </c>
      <c r="E16" s="6">
        <f>E17+E18</f>
        <v/>
      </c>
      <c r="F16" s="6">
        <f>F17+F18</f>
        <v/>
      </c>
      <c r="G16" s="6">
        <f>G17+G18</f>
        <v/>
      </c>
      <c r="H16" s="6">
        <f>H17+H18</f>
        <v/>
      </c>
      <c r="I16" s="6">
        <f>I17+I18</f>
        <v/>
      </c>
      <c r="J16" s="6">
        <f>J17+J18</f>
        <v/>
      </c>
      <c r="K16" s="6">
        <f>K17+K18</f>
        <v/>
      </c>
      <c r="L16" s="6">
        <f>L17+L18</f>
        <v/>
      </c>
      <c r="M16" s="6">
        <f>M17+M18</f>
        <v/>
      </c>
      <c r="N16" s="7">
        <f>SUM(B16:M16)</f>
        <v/>
      </c>
    </row>
    <row r="17">
      <c r="A17" s="16" t="inlineStr">
        <is>
          <t xml:space="preserve">      금융 본업 매출</t>
        </is>
      </c>
      <c r="B17" s="17" t="n">
        <v>188607064.7</v>
      </c>
      <c r="C17" s="17" t="n">
        <v>202708179.9</v>
      </c>
      <c r="D17" s="17" t="n">
        <v>207397622.3</v>
      </c>
      <c r="E17" s="17" t="n">
        <v>215197622.3</v>
      </c>
      <c r="F17" s="17" t="n">
        <v>198137361.9</v>
      </c>
      <c r="G17" s="17" t="n">
        <v>222950410.3</v>
      </c>
      <c r="H17" s="17" t="n">
        <v>359493942.7</v>
      </c>
      <c r="I17" s="17" t="n">
        <v>314297027.9</v>
      </c>
      <c r="J17" s="17" t="n">
        <v>300828700.7</v>
      </c>
      <c r="K17" s="17" t="n">
        <v>291505094.7</v>
      </c>
      <c r="L17" s="17" t="n">
        <v>245542343.5</v>
      </c>
      <c r="M17" s="17" t="n">
        <v>281402603.9</v>
      </c>
      <c r="N17" s="18">
        <f>SUM(B17:M17)</f>
        <v/>
      </c>
    </row>
    <row r="18">
      <c r="A18" s="16" t="inlineStr">
        <is>
          <t xml:space="preserve">      연계 광고 매출</t>
        </is>
      </c>
      <c r="B18" s="17">
        <f>B19+B20</f>
        <v/>
      </c>
      <c r="C18" s="17">
        <f>C19+C20</f>
        <v/>
      </c>
      <c r="D18" s="17">
        <f>D19+D20</f>
        <v/>
      </c>
      <c r="E18" s="17">
        <f>E19+E20</f>
        <v/>
      </c>
      <c r="F18" s="17">
        <f>F19+F20</f>
        <v/>
      </c>
      <c r="G18" s="17">
        <f>G19+G20</f>
        <v/>
      </c>
      <c r="H18" s="17">
        <f>H19+H20</f>
        <v/>
      </c>
      <c r="I18" s="17">
        <f>I19+I20</f>
        <v/>
      </c>
      <c r="J18" s="17">
        <f>J19+J20</f>
        <v/>
      </c>
      <c r="K18" s="17">
        <f>K19+K20</f>
        <v/>
      </c>
      <c r="L18" s="17">
        <f>L19+L20</f>
        <v/>
      </c>
      <c r="M18" s="17">
        <f>M19+M20</f>
        <v/>
      </c>
      <c r="N18" s="18">
        <f>SUM(B18:M18)</f>
        <v/>
      </c>
    </row>
    <row r="19">
      <c r="A19" s="21" t="inlineStr">
        <is>
          <t xml:space="preserve">            - 웰컴저축은행</t>
        </is>
      </c>
      <c r="B19" s="22" t="n">
        <v>27500000</v>
      </c>
      <c r="C19" s="22" t="n">
        <v>27500000</v>
      </c>
      <c r="D19" s="22" t="n">
        <v>27500000</v>
      </c>
      <c r="E19" s="22" t="n">
        <v>27500000</v>
      </c>
      <c r="F19" s="22" t="n">
        <v>30250000</v>
      </c>
      <c r="G19" s="22" t="n">
        <v>30250000</v>
      </c>
      <c r="H19" s="22" t="n">
        <v>30250000</v>
      </c>
      <c r="I19" s="22" t="n">
        <v>30250000</v>
      </c>
      <c r="J19" s="22" t="n">
        <v>30250000</v>
      </c>
      <c r="K19" s="22" t="n">
        <v>30250000</v>
      </c>
      <c r="L19" s="22" t="n">
        <v>30250000</v>
      </c>
      <c r="M19" s="22" t="n">
        <v>30250000</v>
      </c>
      <c r="N19" s="23">
        <f>SUM(B19:M19)</f>
        <v/>
      </c>
    </row>
    <row r="20">
      <c r="A20" s="21" t="inlineStr">
        <is>
          <t xml:space="preserve">            - IM캐피탈</t>
        </is>
      </c>
      <c r="B20" s="22" t="n">
        <v>40000000</v>
      </c>
      <c r="C20" s="22" t="n">
        <v>40000000</v>
      </c>
      <c r="D20" s="22" t="n">
        <v>40000000</v>
      </c>
      <c r="E20" s="22" t="n">
        <v>40000000</v>
      </c>
      <c r="F20" s="22" t="n">
        <v>40000000</v>
      </c>
      <c r="G20" s="22" t="n">
        <v>40000000</v>
      </c>
      <c r="H20" s="22" t="n">
        <v>40000000</v>
      </c>
      <c r="I20" s="22" t="n">
        <v>40000000</v>
      </c>
      <c r="J20" s="22" t="n">
        <v>40000000</v>
      </c>
      <c r="K20" s="22" t="n">
        <v>40000000</v>
      </c>
      <c r="L20" s="22" t="n">
        <v>40000000</v>
      </c>
      <c r="M20" s="22" t="n">
        <v>40000000</v>
      </c>
      <c r="N20" s="23">
        <f>SUM(B20:M20)</f>
        <v/>
      </c>
    </row>
    <row r="21">
      <c r="A21" s="8" t="inlineStr">
        <is>
          <t>총 매출 (실적)</t>
        </is>
      </c>
      <c r="B21" s="9">
        <f>B22+B23</f>
        <v/>
      </c>
      <c r="C21" s="9">
        <f>C22+C23</f>
        <v/>
      </c>
      <c r="D21" s="9">
        <f>D22+D23</f>
        <v/>
      </c>
      <c r="E21" s="9">
        <f>E22+E23</f>
        <v/>
      </c>
      <c r="F21" s="9">
        <f>F22+F23</f>
        <v/>
      </c>
      <c r="G21" s="9">
        <f>G22+G23</f>
        <v/>
      </c>
      <c r="H21" s="9">
        <f>H22+H23</f>
        <v/>
      </c>
      <c r="I21" s="9">
        <f>I22+I23</f>
        <v/>
      </c>
      <c r="J21" s="9">
        <f>J22+J23</f>
        <v/>
      </c>
      <c r="K21" s="9">
        <f>K22+K23</f>
        <v/>
      </c>
      <c r="L21" s="9">
        <f>L22+L23</f>
        <v/>
      </c>
      <c r="M21" s="9">
        <f>M22+M23</f>
        <v/>
      </c>
      <c r="N21" s="7">
        <f>SUM(B21:M21)</f>
        <v/>
      </c>
    </row>
    <row r="22">
      <c r="A22" s="19" t="inlineStr">
        <is>
          <t xml:space="preserve">      금융 본업 매출</t>
        </is>
      </c>
      <c r="B22" s="20" t="n">
        <v>204935800</v>
      </c>
      <c r="C22" s="20" t="n">
        <v>179539900</v>
      </c>
      <c r="D22" s="20" t="n">
        <v>242439600</v>
      </c>
      <c r="E22" s="20" t="n">
        <v>260301900</v>
      </c>
      <c r="F22" s="20" t="n">
        <v>140826000</v>
      </c>
      <c r="G22" s="20" t="n">
        <v>133743400</v>
      </c>
      <c r="H22" s="20" t="n"/>
      <c r="I22" s="20" t="n"/>
      <c r="J22" s="20" t="n"/>
      <c r="K22" s="20" t="n"/>
      <c r="L22" s="20" t="n"/>
      <c r="M22" s="20" t="n"/>
      <c r="N22" s="18">
        <f>SUM(B22:M22)</f>
        <v/>
      </c>
    </row>
    <row r="23">
      <c r="A23" s="19" t="inlineStr">
        <is>
          <t xml:space="preserve">      연계 광고 매출</t>
        </is>
      </c>
      <c r="B23" s="20" t="n">
        <v>67500000</v>
      </c>
      <c r="C23" s="20" t="n">
        <v>67500000</v>
      </c>
      <c r="D23" s="20" t="n">
        <v>67500000</v>
      </c>
      <c r="E23" s="20" t="n">
        <v>67500000</v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18">
        <f>SUM(B23:M23)</f>
        <v/>
      </c>
    </row>
    <row r="24">
      <c r="A24" s="10" t="inlineStr">
        <is>
          <t>매출 달성률</t>
        </is>
      </c>
      <c r="B24" s="11">
        <f>IF(B21=0,"",IFERROR(B21/B16,""))</f>
        <v/>
      </c>
      <c r="C24" s="11">
        <f>IF(C21=0,"",IFERROR(C21/C16,""))</f>
        <v/>
      </c>
      <c r="D24" s="11">
        <f>IF(D21=0,"",IFERROR(D21/D16,""))</f>
        <v/>
      </c>
      <c r="E24" s="11">
        <f>IF(E21=0,"",IFERROR(E21/E16,""))</f>
        <v/>
      </c>
      <c r="F24" s="11">
        <f>IF(F21=0,"",IFERROR(F21/F16,""))</f>
        <v/>
      </c>
      <c r="G24" s="11">
        <f>IF(G21=0,"",IFERROR(G21/G16,""))</f>
        <v/>
      </c>
      <c r="H24" s="11">
        <f>IF(H21=0,"",IFERROR(H21/H16,""))</f>
        <v/>
      </c>
      <c r="I24" s="11">
        <f>IF(I21=0,"",IFERROR(I21/I16,""))</f>
        <v/>
      </c>
      <c r="J24" s="11">
        <f>IF(J21=0,"",IFERROR(J21/J16,""))</f>
        <v/>
      </c>
      <c r="K24" s="11">
        <f>IF(K21=0,"",IFERROR(K21/K16,""))</f>
        <v/>
      </c>
      <c r="L24" s="11">
        <f>IF(L21=0,"",IFERROR(L21/L16,""))</f>
        <v/>
      </c>
      <c r="M24" s="11">
        <f>IF(M21=0,"",IFERROR(M21/M16,""))</f>
        <v/>
      </c>
      <c r="N24" s="12">
        <f>IF(N21=0,"",IFERROR(N21/N16,""))</f>
        <v/>
      </c>
    </row>
    <row r="26">
      <c r="A26" s="14" t="inlineStr">
        <is>
          <t>Ⅲ. 여신 실행건수</t>
        </is>
      </c>
    </row>
    <row r="27">
      <c r="A27" s="19" t="inlineStr">
        <is>
          <t>여신 실행건수 (실적)</t>
        </is>
      </c>
      <c r="B27" s="20" t="n">
        <v>991</v>
      </c>
      <c r="C27" s="20" t="n">
        <v>834</v>
      </c>
      <c r="D27" s="20" t="n">
        <v>968</v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18">
        <f>SUM(B27:M27)</f>
        <v/>
      </c>
    </row>
  </sheetData>
  <mergeCells count="5">
    <mergeCell ref="A4:N4"/>
    <mergeCell ref="A26:N26"/>
    <mergeCell ref="A2:N2"/>
    <mergeCell ref="A15:N15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</cols>
  <sheetData>
    <row r="1">
      <c r="A1" s="1" t="inlineStr">
        <is>
          <t>2026년 보증 사업계획 (역년 환산)</t>
        </is>
      </c>
    </row>
    <row r="2">
      <c r="A2" s="2" t="inlineStr">
        <is>
          <t>단위: 원 | 메인=매출(결제액) | 보증 회계연도(FY)→역년2026 환산 | 회색=실적 입력 칸 | 노란칸=자동 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13" t="inlineStr">
        <is>
          <t>Ⅰ. 사업 매출 (메인 = 가입+광고+정비)</t>
        </is>
      </c>
    </row>
    <row r="5">
      <c r="A5" s="5" t="inlineStr">
        <is>
          <t>사업 매출 (계획)</t>
        </is>
      </c>
      <c r="B5" s="6">
        <f>B6+B7+B8+B9+B10+B11+B12+B13</f>
        <v/>
      </c>
      <c r="C5" s="6">
        <f>C6+C7+C8+C9+C10+C11+C12+C13</f>
        <v/>
      </c>
      <c r="D5" s="6">
        <f>D6+D7+D8+D9+D10+D11+D12+D13</f>
        <v/>
      </c>
      <c r="E5" s="6">
        <f>E6+E7+E8+E9+E10+E11+E12+E13</f>
        <v/>
      </c>
      <c r="F5" s="6">
        <f>F6+F7+F8+F9+F10+F11+F12+F13</f>
        <v/>
      </c>
      <c r="G5" s="6">
        <f>G6+G7+G8+G9+G10+G11+G12+G13</f>
        <v/>
      </c>
      <c r="H5" s="6">
        <f>H6+H7+H8+H9+H10+H11+H12+H13</f>
        <v/>
      </c>
      <c r="I5" s="6">
        <f>I6+I7+I8+I9+I10+I11+I12+I13</f>
        <v/>
      </c>
      <c r="J5" s="6">
        <f>J6+J7+J8+J9+J10+J11+J12+J13</f>
        <v/>
      </c>
      <c r="K5" s="6">
        <f>K6+K7+K8+K9+K10+K11+K12+K13</f>
        <v/>
      </c>
      <c r="L5" s="6">
        <f>L6+L7+L8+L9+L10+L11+L12+L13</f>
        <v/>
      </c>
      <c r="M5" s="6">
        <f>M6+M7+M8+M9+M10+M11+M12+M13</f>
        <v/>
      </c>
      <c r="N5" s="7">
        <f>SUM(B5:M5)</f>
        <v/>
      </c>
    </row>
    <row r="6">
      <c r="A6" s="16" t="inlineStr">
        <is>
          <t xml:space="preserve">      홈서비스 가입</t>
        </is>
      </c>
      <c r="B6" s="17" t="n">
        <v>259116162.9</v>
      </c>
      <c r="C6" s="17" t="n">
        <v>225109047.4</v>
      </c>
      <c r="D6" s="17" t="n">
        <v>300195554.5</v>
      </c>
      <c r="E6" s="17" t="n">
        <v>337663571.1</v>
      </c>
      <c r="F6" s="17" t="n">
        <v>291618538.7</v>
      </c>
      <c r="G6" s="17" t="n">
        <v>359512390.4</v>
      </c>
      <c r="H6" s="17" t="n">
        <v>386236566.1</v>
      </c>
      <c r="I6" s="17" t="n">
        <v>390028509.9</v>
      </c>
      <c r="J6" s="17" t="n">
        <v>361137509.2</v>
      </c>
      <c r="K6" s="17" t="n">
        <v>343080633.8</v>
      </c>
      <c r="L6" s="17" t="n">
        <v>341274946.2</v>
      </c>
      <c r="M6" s="17" t="n">
        <v>337663571.1</v>
      </c>
      <c r="N6" s="18">
        <f>SUM(B6:M6)</f>
        <v/>
      </c>
    </row>
    <row r="7">
      <c r="A7" s="16" t="inlineStr">
        <is>
          <t xml:space="preserve">      딜러 가입</t>
        </is>
      </c>
      <c r="B7" s="17" t="n">
        <v>7773484.886</v>
      </c>
      <c r="C7" s="17" t="n">
        <v>6753271.422</v>
      </c>
      <c r="D7" s="17" t="n">
        <v>9005866.636</v>
      </c>
      <c r="E7" s="17" t="n">
        <v>10129907.13</v>
      </c>
      <c r="F7" s="17" t="n">
        <v>8748556.161</v>
      </c>
      <c r="G7" s="17" t="n">
        <v>10785371.71</v>
      </c>
      <c r="H7" s="17" t="n">
        <v>11587096.98</v>
      </c>
      <c r="I7" s="17" t="n">
        <v>11700855.3</v>
      </c>
      <c r="J7" s="17" t="n">
        <v>10834125.28</v>
      </c>
      <c r="K7" s="17" t="n">
        <v>10292419.01</v>
      </c>
      <c r="L7" s="17" t="n">
        <v>10238248.39</v>
      </c>
      <c r="M7" s="17" t="n">
        <v>10129907.13</v>
      </c>
      <c r="N7" s="18">
        <f>SUM(B7:M7)</f>
        <v/>
      </c>
    </row>
    <row r="8">
      <c r="A8" s="16" t="inlineStr">
        <is>
          <t xml:space="preserve">      수입 홈서비스 가입</t>
        </is>
      </c>
      <c r="B8" s="17" t="n">
        <v>0</v>
      </c>
      <c r="C8" s="17" t="n">
        <v>0</v>
      </c>
      <c r="D8" s="17" t="n">
        <v>0</v>
      </c>
      <c r="E8" s="17" t="n">
        <v>50121702.37</v>
      </c>
      <c r="F8" s="17" t="n">
        <v>86573849.54000001</v>
      </c>
      <c r="G8" s="17" t="n">
        <v>106729742.7</v>
      </c>
      <c r="H8" s="17" t="n">
        <v>114663445.3</v>
      </c>
      <c r="I8" s="17" t="n">
        <v>115789173.4</v>
      </c>
      <c r="J8" s="17" t="n">
        <v>107212197.6</v>
      </c>
      <c r="K8" s="17" t="n">
        <v>101851587.7</v>
      </c>
      <c r="L8" s="17" t="n">
        <v>101315526.7</v>
      </c>
      <c r="M8" s="17" t="n">
        <v>100243404.7</v>
      </c>
      <c r="N8" s="18">
        <f>SUM(B8:M8)</f>
        <v/>
      </c>
    </row>
    <row r="9">
      <c r="A9" s="16" t="inlineStr">
        <is>
          <t xml:space="preserve">      EW 2.0</t>
        </is>
      </c>
      <c r="B9" s="17" t="n">
        <v>-0.08600002527236938</v>
      </c>
      <c r="C9" s="17" t="n">
        <v>-0.02199998497962952</v>
      </c>
      <c r="D9" s="17" t="n">
        <v>0.06400001049041748</v>
      </c>
      <c r="E9" s="17" t="n">
        <v>0.04699999094009399</v>
      </c>
      <c r="F9" s="17" t="n">
        <v>-0.01000005006790161</v>
      </c>
      <c r="G9" s="17" t="n">
        <v>0.04400002956390381</v>
      </c>
      <c r="H9" s="17" t="n">
        <v>0.03999996185302734</v>
      </c>
      <c r="I9" s="17" t="n">
        <v>0.01000010967254639</v>
      </c>
      <c r="J9" s="17" t="n">
        <v>7999999.972000062</v>
      </c>
      <c r="K9" s="17" t="n">
        <v>15999999.954</v>
      </c>
      <c r="L9" s="17" t="n">
        <v>16000000.014</v>
      </c>
      <c r="M9" s="17" t="n">
        <v>16000000.05500001</v>
      </c>
      <c r="N9" s="18">
        <f>SUM(B9:M9)</f>
        <v/>
      </c>
    </row>
    <row r="10">
      <c r="A10" s="16" t="inlineStr">
        <is>
          <t xml:space="preserve">      딜러 광고</t>
        </is>
      </c>
      <c r="B10" s="17" t="n">
        <v>6280050</v>
      </c>
      <c r="C10" s="17" t="n">
        <v>6280050</v>
      </c>
      <c r="D10" s="17" t="n">
        <v>6280050</v>
      </c>
      <c r="E10" s="17" t="n">
        <v>6280050</v>
      </c>
      <c r="F10" s="17" t="n">
        <v>6280050</v>
      </c>
      <c r="G10" s="17" t="n">
        <v>6280050</v>
      </c>
      <c r="H10" s="17" t="n">
        <v>6280050</v>
      </c>
      <c r="I10" s="17" t="n">
        <v>6280050</v>
      </c>
      <c r="J10" s="17" t="n">
        <v>6280050</v>
      </c>
      <c r="K10" s="17" t="n">
        <v>6280050</v>
      </c>
      <c r="L10" s="17" t="n">
        <v>6280050</v>
      </c>
      <c r="M10" s="17" t="n">
        <v>6280050</v>
      </c>
      <c r="N10" s="18">
        <f>SUM(B10:M10)</f>
        <v/>
      </c>
    </row>
    <row r="11">
      <c r="A11" s="16" t="inlineStr">
        <is>
          <t xml:space="preserve">      EW 2.0 광고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4000000</v>
      </c>
      <c r="K11" s="17" t="n">
        <v>8000000</v>
      </c>
      <c r="L11" s="17" t="n">
        <v>8000000</v>
      </c>
      <c r="M11" s="17" t="n">
        <v>8000000</v>
      </c>
      <c r="N11" s="18">
        <f>SUM(B11:M11)</f>
        <v/>
      </c>
    </row>
    <row r="12">
      <c r="A12" s="16" t="inlineStr">
        <is>
          <t xml:space="preserve">      정비 쿠폰</t>
        </is>
      </c>
      <c r="B12" s="17" t="n">
        <v>0</v>
      </c>
      <c r="C12" s="17" t="n">
        <v>0</v>
      </c>
      <c r="D12" s="17" t="n">
        <v>0</v>
      </c>
      <c r="E12" s="17" t="n">
        <v>4607565.953</v>
      </c>
      <c r="F12" s="17" t="n">
        <v>7958523.009</v>
      </c>
      <c r="G12" s="17" t="n">
        <v>9811405.146</v>
      </c>
      <c r="H12" s="17" t="n">
        <v>10540731.09</v>
      </c>
      <c r="I12" s="17" t="n">
        <v>10644216.53</v>
      </c>
      <c r="J12" s="17" t="n">
        <v>9855756.048</v>
      </c>
      <c r="K12" s="17" t="n">
        <v>9362968.245999999</v>
      </c>
      <c r="L12" s="17" t="n">
        <v>9313689.466</v>
      </c>
      <c r="M12" s="17" t="n">
        <v>9215131.904999999</v>
      </c>
      <c r="N12" s="18">
        <f>SUM(B12:M12)</f>
        <v/>
      </c>
    </row>
    <row r="13">
      <c r="A13" s="16" t="inlineStr">
        <is>
          <t xml:space="preserve">      정비 바우처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10540731.09</v>
      </c>
      <c r="I13" s="17" t="n">
        <v>21288433.06</v>
      </c>
      <c r="J13" s="17" t="n">
        <v>19711512.1</v>
      </c>
      <c r="K13" s="17" t="n">
        <v>18725936.49</v>
      </c>
      <c r="L13" s="17" t="n">
        <v>18627378.93</v>
      </c>
      <c r="M13" s="17" t="n">
        <v>18430263.81</v>
      </c>
      <c r="N13" s="18">
        <f>SUM(B13:M13)</f>
        <v/>
      </c>
    </row>
    <row r="14">
      <c r="A14" s="19" t="inlineStr">
        <is>
          <t>사업 매출 (실적)</t>
        </is>
      </c>
      <c r="B14" s="20" t="n">
        <v>293148145.5</v>
      </c>
      <c r="C14" s="20" t="n">
        <v>299294300</v>
      </c>
      <c r="D14" s="20" t="n">
        <v>445862063.6</v>
      </c>
      <c r="E14" s="20" t="n">
        <v>401177181.8</v>
      </c>
      <c r="F14" s="20" t="n">
        <v>459019390.9</v>
      </c>
      <c r="G14" s="20" t="n"/>
      <c r="H14" s="20" t="n"/>
      <c r="I14" s="20" t="n"/>
      <c r="J14" s="20" t="n"/>
      <c r="K14" s="20" t="n"/>
      <c r="L14" s="20" t="n"/>
      <c r="M14" s="20" t="n"/>
      <c r="N14" s="18">
        <f>SUM(B14:M14)</f>
        <v/>
      </c>
    </row>
    <row r="15">
      <c r="A15" s="10" t="inlineStr">
        <is>
          <t>매출 달성률</t>
        </is>
      </c>
      <c r="B15" s="11">
        <f>IF(B14=0,"",IFERROR(B14/B5,""))</f>
        <v/>
      </c>
      <c r="C15" s="11">
        <f>IF(C14=0,"",IFERROR(C14/C5,""))</f>
        <v/>
      </c>
      <c r="D15" s="11">
        <f>IF(D14=0,"",IFERROR(D14/D5,""))</f>
        <v/>
      </c>
      <c r="E15" s="11">
        <f>IF(E14=0,"",IFERROR(E14/E5,""))</f>
        <v/>
      </c>
      <c r="F15" s="11">
        <f>IF(F14=0,"",IFERROR(F14/F5,""))</f>
        <v/>
      </c>
      <c r="G15" s="11">
        <f>IF(G14=0,"",IFERROR(G14/G5,""))</f>
        <v/>
      </c>
      <c r="H15" s="11">
        <f>IF(H14=0,"",IFERROR(H14/H5,""))</f>
        <v/>
      </c>
      <c r="I15" s="11">
        <f>IF(I14=0,"",IFERROR(I14/I5,""))</f>
        <v/>
      </c>
      <c r="J15" s="11">
        <f>IF(J14=0,"",IFERROR(J14/J5,""))</f>
        <v/>
      </c>
      <c r="K15" s="11">
        <f>IF(K14=0,"",IFERROR(K14/K5,""))</f>
        <v/>
      </c>
      <c r="L15" s="11">
        <f>IF(L14=0,"",IFERROR(L14/L5,""))</f>
        <v/>
      </c>
      <c r="M15" s="11">
        <f>IF(M14=0,"",IFERROR(M14/M5,""))</f>
        <v/>
      </c>
      <c r="N15" s="12">
        <f>IF(N14=0,"",IFERROR(N14/N5,""))</f>
        <v/>
      </c>
    </row>
    <row r="17">
      <c r="A17" s="4" t="inlineStr">
        <is>
          <t>Ⅱ. (참고) 안분 매출 — 재무팀 기준</t>
        </is>
      </c>
    </row>
    <row r="18">
      <c r="A18" s="16" t="inlineStr">
        <is>
          <t>안분 매출 (계획)</t>
        </is>
      </c>
      <c r="B18" s="17" t="n">
        <v>259801385</v>
      </c>
      <c r="C18" s="17" t="n">
        <v>269666964.9</v>
      </c>
      <c r="D18" s="17" t="n">
        <v>245876279.1</v>
      </c>
      <c r="E18" s="17" t="n">
        <v>324352847.1</v>
      </c>
      <c r="F18" s="17" t="n">
        <v>403097807</v>
      </c>
      <c r="G18" s="17" t="n">
        <v>402229650.4</v>
      </c>
      <c r="H18" s="17" t="n">
        <v>486853515.2</v>
      </c>
      <c r="I18" s="17" t="n">
        <v>519270301.4</v>
      </c>
      <c r="J18" s="17" t="n">
        <v>520765118</v>
      </c>
      <c r="K18" s="17" t="n">
        <v>491867962.9</v>
      </c>
      <c r="L18" s="17" t="n">
        <v>477265098.5</v>
      </c>
      <c r="M18" s="17" t="n">
        <v>474629587.5</v>
      </c>
      <c r="N18" s="18">
        <f>SUM(B18:M18)</f>
        <v/>
      </c>
    </row>
    <row r="19">
      <c r="A19" s="19" t="inlineStr">
        <is>
          <t>안분 매출 (실적)</t>
        </is>
      </c>
      <c r="B19" s="20" t="n">
        <v>286333145</v>
      </c>
      <c r="C19" s="20" t="n">
        <v>301034300</v>
      </c>
      <c r="D19" s="20" t="n">
        <v>296383272.7</v>
      </c>
      <c r="E19" s="20" t="n">
        <v>347207980</v>
      </c>
      <c r="F19" s="20" t="n">
        <v>380095593.6</v>
      </c>
      <c r="G19" s="20" t="n">
        <v>371514409.1</v>
      </c>
      <c r="H19" s="20" t="n">
        <v>238448790</v>
      </c>
      <c r="I19" s="20" t="n">
        <v>120534908.2</v>
      </c>
      <c r="J19" s="20" t="n"/>
      <c r="K19" s="20" t="n"/>
      <c r="L19" s="20" t="n"/>
      <c r="M19" s="20" t="n"/>
      <c r="N19" s="18">
        <f>SUM(B19:M19)</f>
        <v/>
      </c>
    </row>
    <row r="20">
      <c r="A20" s="10" t="inlineStr">
        <is>
          <t>안분 매출 달성률</t>
        </is>
      </c>
      <c r="B20" s="11">
        <f>IF(B19=0,"",IFERROR(B19/B18,""))</f>
        <v/>
      </c>
      <c r="C20" s="11">
        <f>IF(C19=0,"",IFERROR(C19/C18,""))</f>
        <v/>
      </c>
      <c r="D20" s="11">
        <f>IF(D19=0,"",IFERROR(D19/D18,""))</f>
        <v/>
      </c>
      <c r="E20" s="11">
        <f>IF(E19=0,"",IFERROR(E19/E18,""))</f>
        <v/>
      </c>
      <c r="F20" s="11">
        <f>IF(F19=0,"",IFERROR(F19/F18,""))</f>
        <v/>
      </c>
      <c r="G20" s="11">
        <f>IF(G19=0,"",IFERROR(G19/G18,""))</f>
        <v/>
      </c>
      <c r="H20" s="11">
        <f>IF(H19=0,"",IFERROR(H19/H18,""))</f>
        <v/>
      </c>
      <c r="I20" s="11">
        <f>IF(I19=0,"",IFERROR(I19/I18,""))</f>
        <v/>
      </c>
      <c r="J20" s="11">
        <f>IF(J19=0,"",IFERROR(J19/J18,""))</f>
        <v/>
      </c>
      <c r="K20" s="11">
        <f>IF(K19=0,"",IFERROR(K19/K18,""))</f>
        <v/>
      </c>
      <c r="L20" s="11">
        <f>IF(L19=0,"",IFERROR(L19/L18,""))</f>
        <v/>
      </c>
      <c r="M20" s="11">
        <f>IF(M19=0,"",IFERROR(M19/M18,""))</f>
        <v/>
      </c>
      <c r="N20" s="12">
        <f>IF(N19=0,"",IFERROR(N19/N18,""))</f>
        <v/>
      </c>
    </row>
    <row r="22">
      <c r="A22" s="14" t="inlineStr">
        <is>
          <t>Ⅲ. 가입 건수 / 손익</t>
        </is>
      </c>
    </row>
    <row r="23">
      <c r="A23" s="16" t="inlineStr">
        <is>
          <t>가입 건수 (계획)</t>
        </is>
      </c>
      <c r="B23" s="17" t="n">
        <v>728</v>
      </c>
      <c r="C23" s="17" t="n">
        <v>633</v>
      </c>
      <c r="D23" s="17" t="n">
        <v>844</v>
      </c>
      <c r="E23" s="17" t="n">
        <v>999</v>
      </c>
      <c r="F23" s="17" t="n">
        <v>906</v>
      </c>
      <c r="G23" s="17" t="n">
        <v>1117</v>
      </c>
      <c r="H23" s="17" t="n">
        <v>1200</v>
      </c>
      <c r="I23" s="17" t="n">
        <v>1212</v>
      </c>
      <c r="J23" s="17" t="n">
        <v>1122</v>
      </c>
      <c r="K23" s="17" t="n">
        <v>1066</v>
      </c>
      <c r="L23" s="17" t="n">
        <v>1061</v>
      </c>
      <c r="M23" s="17" t="n">
        <v>1049</v>
      </c>
      <c r="N23" s="18">
        <f>SUM(B23:M23)</f>
        <v/>
      </c>
    </row>
    <row r="24">
      <c r="A24" s="16" t="inlineStr">
        <is>
          <t>사업 비용 총계 (계획)</t>
        </is>
      </c>
      <c r="B24" s="17" t="n">
        <v>72379483.72</v>
      </c>
      <c r="C24" s="17" t="n">
        <v>62880201.89</v>
      </c>
      <c r="D24" s="17" t="n">
        <v>83854279.92</v>
      </c>
      <c r="E24" s="17" t="n">
        <v>99178832.15000001</v>
      </c>
      <c r="F24" s="17" t="n">
        <v>89850448.54000001</v>
      </c>
      <c r="G24" s="17" t="n">
        <v>110769190.7</v>
      </c>
      <c r="H24" s="17" t="n">
        <v>119821346.6</v>
      </c>
      <c r="I24" s="17" t="n">
        <v>120963695</v>
      </c>
      <c r="J24" s="17" t="n">
        <v>112260088</v>
      </c>
      <c r="K24" s="17" t="n">
        <v>106820333.6</v>
      </c>
      <c r="L24" s="17" t="n">
        <v>106276358.1</v>
      </c>
      <c r="M24" s="17" t="n">
        <v>105188407.3</v>
      </c>
      <c r="N24" s="18">
        <f>SUM(B24:M24)</f>
        <v/>
      </c>
    </row>
    <row r="25">
      <c r="A25" s="24" t="inlineStr">
        <is>
          <t>사업 이익 (계획) = 매출 − 비용</t>
        </is>
      </c>
      <c r="B25" s="25">
        <f>B5-B24</f>
        <v/>
      </c>
      <c r="C25" s="25">
        <f>C5-C24</f>
        <v/>
      </c>
      <c r="D25" s="25">
        <f>D5-D24</f>
        <v/>
      </c>
      <c r="E25" s="25">
        <f>E5-E24</f>
        <v/>
      </c>
      <c r="F25" s="25">
        <f>F5-F24</f>
        <v/>
      </c>
      <c r="G25" s="25">
        <f>G5-G24</f>
        <v/>
      </c>
      <c r="H25" s="25">
        <f>H5-H24</f>
        <v/>
      </c>
      <c r="I25" s="25">
        <f>I5-I24</f>
        <v/>
      </c>
      <c r="J25" s="25">
        <f>J5-J24</f>
        <v/>
      </c>
      <c r="K25" s="25">
        <f>K5-K24</f>
        <v/>
      </c>
      <c r="L25" s="25">
        <f>L5-L24</f>
        <v/>
      </c>
      <c r="M25" s="25">
        <f>M5-M24</f>
        <v/>
      </c>
      <c r="N25" s="7">
        <f>SUM(B25:M25)</f>
        <v/>
      </c>
    </row>
    <row r="26">
      <c r="A26" s="10" t="inlineStr">
        <is>
          <t>이익률 = 이익 / 매출</t>
        </is>
      </c>
      <c r="B26" s="11">
        <f>IFERROR(B25/B5,"")</f>
        <v/>
      </c>
      <c r="C26" s="11">
        <f>IFERROR(C25/C5,"")</f>
        <v/>
      </c>
      <c r="D26" s="11">
        <f>IFERROR(D25/D5,"")</f>
        <v/>
      </c>
      <c r="E26" s="11">
        <f>IFERROR(E25/E5,"")</f>
        <v/>
      </c>
      <c r="F26" s="11">
        <f>IFERROR(F25/F5,"")</f>
        <v/>
      </c>
      <c r="G26" s="11">
        <f>IFERROR(G25/G5,"")</f>
        <v/>
      </c>
      <c r="H26" s="11">
        <f>IFERROR(H25/H5,"")</f>
        <v/>
      </c>
      <c r="I26" s="11">
        <f>IFERROR(I25/I5,"")</f>
        <v/>
      </c>
      <c r="J26" s="11">
        <f>IFERROR(J25/J5,"")</f>
        <v/>
      </c>
      <c r="K26" s="11">
        <f>IFERROR(K25/K5,"")</f>
        <v/>
      </c>
      <c r="L26" s="11">
        <f>IFERROR(L25/L5,"")</f>
        <v/>
      </c>
      <c r="M26" s="11">
        <f>IFERROR(M25/M5,"")</f>
        <v/>
      </c>
      <c r="N26" s="12">
        <f>IFERROR(N25/N5,"")</f>
        <v/>
      </c>
    </row>
  </sheetData>
  <mergeCells count="5">
    <mergeCell ref="A17:N17"/>
    <mergeCell ref="A22:N22"/>
    <mergeCell ref="A4:N4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2026-06-16T22:59:11Z</dcterms:created>
  <dcterms:modified xmlns:dcterms="http://purl.org/dc/terms/" xmlns:xsi="http://www.w3.org/2001/XMLSchema-instance" xsi:type="dcterms:W3CDTF">2026-06-16T22:59:11Z</dcterms:modified>
</cp:coreProperties>
</file>