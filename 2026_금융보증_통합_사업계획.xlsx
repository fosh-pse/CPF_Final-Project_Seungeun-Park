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통합" sheetId="1" state="visible" r:id="rId1"/>
    <sheet xmlns:r="http://schemas.openxmlformats.org/officeDocument/2006/relationships" name="금융" sheetId="2" state="visible" r:id="rId2"/>
    <sheet xmlns:r="http://schemas.openxmlformats.org/officeDocument/2006/relationships" name="보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b val="1"/>
      <i val="1"/>
      <color rgb="00808080"/>
      <sz val="9"/>
    </font>
    <font>
      <name val="Arial"/>
      <color rgb="00595959"/>
      <sz val="9"/>
    </font>
  </fonts>
  <fills count="11">
    <fill>
      <patternFill/>
    </fill>
    <fill>
      <patternFill patternType="gray125"/>
    </fill>
    <fill>
      <patternFill patternType="solid"/>
    </fill>
    <fill>
      <patternFill patternType="solid">
        <fgColor rgb="00595959"/>
      </patternFill>
    </fill>
    <fill>
      <patternFill patternType="solid">
        <fgColor rgb="00BFBFBF"/>
      </patternFill>
    </fill>
    <fill>
      <patternFill patternType="solid">
        <fgColor rgb="00999999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F7D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center"/>
    </xf>
    <xf numFmtId="3" fontId="6" fillId="9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/>
    </xf>
    <xf numFmtId="164" fontId="8" fillId="8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/>
    </xf>
    <xf numFmtId="3" fontId="6" fillId="1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3" fontId="6" fillId="5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3" fontId="7" fillId="8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3" fontId="7" fillId="7" borderId="1" applyAlignment="1" pivotButton="0" quotePrefix="0" xfId="0">
      <alignment horizontal="right" vertical="center"/>
    </xf>
    <xf numFmtId="3" fontId="7" fillId="9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3" fontId="6" fillId="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금융·보증 통합 사업계획</t>
        </is>
      </c>
    </row>
    <row r="2">
      <c r="A2" s="2" t="inlineStr">
        <is>
          <t>단위: 원 ｜ 역년(CY)2026 1~12월 ｜ 금융·보증 탭 셀 직접 참조 → 실적 입력 시 전부 자동 갱신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Ⅰ. 거래 / 실행 규모  (금융=여신액 ｜ 보증=결제액)</t>
        </is>
      </c>
    </row>
    <row r="5">
      <c r="A5" s="5" t="inlineStr">
        <is>
          <t>금융 여신액 (계획)</t>
        </is>
      </c>
      <c r="B5" s="6">
        <f>'금융'!B7</f>
        <v/>
      </c>
      <c r="C5" s="6">
        <f>'금융'!C7</f>
        <v/>
      </c>
      <c r="D5" s="6">
        <f>'금융'!D7</f>
        <v/>
      </c>
      <c r="E5" s="6">
        <f>'금융'!E7</f>
        <v/>
      </c>
      <c r="F5" s="6">
        <f>'금융'!F7</f>
        <v/>
      </c>
      <c r="G5" s="6">
        <f>'금융'!G7</f>
        <v/>
      </c>
      <c r="H5" s="6">
        <f>'금융'!H7</f>
        <v/>
      </c>
      <c r="I5" s="6">
        <f>'금융'!I7</f>
        <v/>
      </c>
      <c r="J5" s="6">
        <f>'금융'!J7</f>
        <v/>
      </c>
      <c r="K5" s="6">
        <f>'금융'!K7</f>
        <v/>
      </c>
      <c r="L5" s="6">
        <f>'금융'!L7</f>
        <v/>
      </c>
      <c r="M5" s="6">
        <f>'금융'!M7</f>
        <v/>
      </c>
      <c r="N5" s="6">
        <f>'금융'!N7</f>
        <v/>
      </c>
    </row>
    <row r="6">
      <c r="A6" s="7" t="inlineStr">
        <is>
          <t>금융 여신액 (실적)</t>
        </is>
      </c>
      <c r="B6" s="8">
        <f>'금융'!B17</f>
        <v/>
      </c>
      <c r="C6" s="8">
        <f>'금융'!C17</f>
        <v/>
      </c>
      <c r="D6" s="8">
        <f>'금융'!D17</f>
        <v/>
      </c>
      <c r="E6" s="8">
        <f>'금융'!E17</f>
        <v/>
      </c>
      <c r="F6" s="8">
        <f>'금융'!F17</f>
        <v/>
      </c>
      <c r="G6" s="8">
        <f>'금융'!G17</f>
        <v/>
      </c>
      <c r="H6" s="8">
        <f>'금융'!H17</f>
        <v/>
      </c>
      <c r="I6" s="8">
        <f>'금융'!I17</f>
        <v/>
      </c>
      <c r="J6" s="8">
        <f>'금융'!J17</f>
        <v/>
      </c>
      <c r="K6" s="8">
        <f>'금융'!K17</f>
        <v/>
      </c>
      <c r="L6" s="8">
        <f>'금융'!L17</f>
        <v/>
      </c>
      <c r="M6" s="8">
        <f>'금융'!M17</f>
        <v/>
      </c>
      <c r="N6" s="8">
        <f>'금융'!N17</f>
        <v/>
      </c>
    </row>
    <row r="7">
      <c r="A7" s="9" t="inlineStr">
        <is>
          <t xml:space="preserve">        금융 여신액 달성률</t>
        </is>
      </c>
      <c r="B7" s="10">
        <f>IF(B6=0,"",IFERROR(B6/B5,""))</f>
        <v/>
      </c>
      <c r="C7" s="10">
        <f>IF(C6=0,"",IFERROR(C6/C5,""))</f>
        <v/>
      </c>
      <c r="D7" s="10">
        <f>IF(D6=0,"",IFERROR(D6/D5,""))</f>
        <v/>
      </c>
      <c r="E7" s="10">
        <f>IF(E6=0,"",IFERROR(E6/E5,""))</f>
        <v/>
      </c>
      <c r="F7" s="10">
        <f>IF(F6=0,"",IFERROR(F6/F5,""))</f>
        <v/>
      </c>
      <c r="G7" s="10">
        <f>IF(G6=0,"",IFERROR(G6/G5,""))</f>
        <v/>
      </c>
      <c r="H7" s="10">
        <f>IF(H6=0,"",IFERROR(H6/H5,""))</f>
        <v/>
      </c>
      <c r="I7" s="10">
        <f>IF(I6=0,"",IFERROR(I6/I5,""))</f>
        <v/>
      </c>
      <c r="J7" s="10">
        <f>IF(J6=0,"",IFERROR(J6/J5,""))</f>
        <v/>
      </c>
      <c r="K7" s="10">
        <f>IF(K6=0,"",IFERROR(K6/K5,""))</f>
        <v/>
      </c>
      <c r="L7" s="10">
        <f>IF(L6=0,"",IFERROR(L6/L5,""))</f>
        <v/>
      </c>
      <c r="M7" s="10">
        <f>IF(M6=0,"",IFERROR(M6/M5,""))</f>
        <v/>
      </c>
      <c r="N7" s="11">
        <f>IF(N6=0,"",IFERROR(N6/N5,""))</f>
        <v/>
      </c>
    </row>
    <row r="8">
      <c r="A8" s="5" t="inlineStr">
        <is>
          <t>보증 결제액 (계획)</t>
        </is>
      </c>
      <c r="B8" s="6">
        <f>'보증'!B7</f>
        <v/>
      </c>
      <c r="C8" s="6">
        <f>'보증'!C7</f>
        <v/>
      </c>
      <c r="D8" s="6">
        <f>'보증'!D7</f>
        <v/>
      </c>
      <c r="E8" s="6">
        <f>'보증'!E7</f>
        <v/>
      </c>
      <c r="F8" s="6">
        <f>'보증'!F7</f>
        <v/>
      </c>
      <c r="G8" s="6">
        <f>'보증'!G7</f>
        <v/>
      </c>
      <c r="H8" s="6">
        <f>'보증'!H7</f>
        <v/>
      </c>
      <c r="I8" s="6">
        <f>'보증'!I7</f>
        <v/>
      </c>
      <c r="J8" s="6">
        <f>'보증'!J7</f>
        <v/>
      </c>
      <c r="K8" s="6">
        <f>'보증'!K7</f>
        <v/>
      </c>
      <c r="L8" s="6">
        <f>'보증'!L7</f>
        <v/>
      </c>
      <c r="M8" s="6">
        <f>'보증'!M7</f>
        <v/>
      </c>
      <c r="N8" s="6">
        <f>'보증'!N7</f>
        <v/>
      </c>
    </row>
    <row r="9">
      <c r="A9" s="7" t="inlineStr">
        <is>
          <t>보증 결제액 (실적)</t>
        </is>
      </c>
      <c r="B9" s="8">
        <f>'보증'!B18</f>
        <v/>
      </c>
      <c r="C9" s="8">
        <f>'보증'!C18</f>
        <v/>
      </c>
      <c r="D9" s="8">
        <f>'보증'!D18</f>
        <v/>
      </c>
      <c r="E9" s="8">
        <f>'보증'!E18</f>
        <v/>
      </c>
      <c r="F9" s="8">
        <f>'보증'!F18</f>
        <v/>
      </c>
      <c r="G9" s="8">
        <f>'보증'!G18</f>
        <v/>
      </c>
      <c r="H9" s="8">
        <f>'보증'!H18</f>
        <v/>
      </c>
      <c r="I9" s="8">
        <f>'보증'!I18</f>
        <v/>
      </c>
      <c r="J9" s="8">
        <f>'보증'!J18</f>
        <v/>
      </c>
      <c r="K9" s="8">
        <f>'보증'!K18</f>
        <v/>
      </c>
      <c r="L9" s="8">
        <f>'보증'!L18</f>
        <v/>
      </c>
      <c r="M9" s="8">
        <f>'보증'!M18</f>
        <v/>
      </c>
      <c r="N9" s="8">
        <f>'보증'!N18</f>
        <v/>
      </c>
    </row>
    <row r="10">
      <c r="A10" s="9" t="inlineStr">
        <is>
          <t xml:space="preserve">        보증 결제액 달성률</t>
        </is>
      </c>
      <c r="B10" s="10">
        <f>IF(B9=0,"",IFERROR(B9/B8,""))</f>
        <v/>
      </c>
      <c r="C10" s="10">
        <f>IF(C9=0,"",IFERROR(C9/C8,""))</f>
        <v/>
      </c>
      <c r="D10" s="10">
        <f>IF(D9=0,"",IFERROR(D9/D8,""))</f>
        <v/>
      </c>
      <c r="E10" s="10">
        <f>IF(E9=0,"",IFERROR(E9/E8,""))</f>
        <v/>
      </c>
      <c r="F10" s="10">
        <f>IF(F9=0,"",IFERROR(F9/F8,""))</f>
        <v/>
      </c>
      <c r="G10" s="10">
        <f>IF(G9=0,"",IFERROR(G9/G8,""))</f>
        <v/>
      </c>
      <c r="H10" s="10">
        <f>IF(H9=0,"",IFERROR(H9/H8,""))</f>
        <v/>
      </c>
      <c r="I10" s="10">
        <f>IF(I9=0,"",IFERROR(I9/I8,""))</f>
        <v/>
      </c>
      <c r="J10" s="10">
        <f>IF(J9=0,"",IFERROR(J9/J8,""))</f>
        <v/>
      </c>
      <c r="K10" s="10">
        <f>IF(K9=0,"",IFERROR(K9/K8,""))</f>
        <v/>
      </c>
      <c r="L10" s="10">
        <f>IF(L9=0,"",IFERROR(L9/L8,""))</f>
        <v/>
      </c>
      <c r="M10" s="10">
        <f>IF(M9=0,"",IFERROR(M9/M8,""))</f>
        <v/>
      </c>
      <c r="N10" s="11">
        <f>IF(N9=0,"",IFERROR(N9/N8,""))</f>
        <v/>
      </c>
    </row>
    <row r="12">
      <c r="A12" s="4" t="inlineStr">
        <is>
          <t>Ⅱ. 매출  (금융=본업+광고 ｜ 보증=가입+광고)</t>
        </is>
      </c>
    </row>
    <row r="13">
      <c r="A13" s="5" t="inlineStr">
        <is>
          <t>금융 매출 (계획)</t>
        </is>
      </c>
      <c r="B13" s="6">
        <f>'금융'!B32</f>
        <v/>
      </c>
      <c r="C13" s="6">
        <f>'금융'!C32</f>
        <v/>
      </c>
      <c r="D13" s="6">
        <f>'금융'!D32</f>
        <v/>
      </c>
      <c r="E13" s="6">
        <f>'금융'!E32</f>
        <v/>
      </c>
      <c r="F13" s="6">
        <f>'금융'!F32</f>
        <v/>
      </c>
      <c r="G13" s="6">
        <f>'금융'!G32</f>
        <v/>
      </c>
      <c r="H13" s="6">
        <f>'금융'!H32</f>
        <v/>
      </c>
      <c r="I13" s="6">
        <f>'금융'!I32</f>
        <v/>
      </c>
      <c r="J13" s="6">
        <f>'금융'!J32</f>
        <v/>
      </c>
      <c r="K13" s="6">
        <f>'금융'!K32</f>
        <v/>
      </c>
      <c r="L13" s="6">
        <f>'금융'!L32</f>
        <v/>
      </c>
      <c r="M13" s="6">
        <f>'금융'!M32</f>
        <v/>
      </c>
      <c r="N13" s="6">
        <f>'금융'!N32</f>
        <v/>
      </c>
    </row>
    <row r="14">
      <c r="A14" s="7" t="inlineStr">
        <is>
          <t>금융 매출 (실적)</t>
        </is>
      </c>
      <c r="B14" s="8">
        <f>'금융'!B46</f>
        <v/>
      </c>
      <c r="C14" s="8">
        <f>'금융'!C46</f>
        <v/>
      </c>
      <c r="D14" s="8">
        <f>'금융'!D46</f>
        <v/>
      </c>
      <c r="E14" s="8">
        <f>'금융'!E46</f>
        <v/>
      </c>
      <c r="F14" s="8">
        <f>'금융'!F46</f>
        <v/>
      </c>
      <c r="G14" s="8">
        <f>'금융'!G46</f>
        <v/>
      </c>
      <c r="H14" s="8">
        <f>'금융'!H46</f>
        <v/>
      </c>
      <c r="I14" s="8">
        <f>'금융'!I46</f>
        <v/>
      </c>
      <c r="J14" s="8">
        <f>'금융'!J46</f>
        <v/>
      </c>
      <c r="K14" s="8">
        <f>'금융'!K46</f>
        <v/>
      </c>
      <c r="L14" s="8">
        <f>'금융'!L46</f>
        <v/>
      </c>
      <c r="M14" s="8">
        <f>'금융'!M46</f>
        <v/>
      </c>
      <c r="N14" s="8">
        <f>'금융'!N46</f>
        <v/>
      </c>
    </row>
    <row r="15">
      <c r="A15" s="9" t="inlineStr">
        <is>
          <t xml:space="preserve">        금융 매출 달성률</t>
        </is>
      </c>
      <c r="B15" s="10">
        <f>IF(B14=0,"",IFERROR(B14/B13,""))</f>
        <v/>
      </c>
      <c r="C15" s="10">
        <f>IF(C14=0,"",IFERROR(C14/C13,""))</f>
        <v/>
      </c>
      <c r="D15" s="10">
        <f>IF(D14=0,"",IFERROR(D14/D13,""))</f>
        <v/>
      </c>
      <c r="E15" s="10">
        <f>IF(E14=0,"",IFERROR(E14/E13,""))</f>
        <v/>
      </c>
      <c r="F15" s="10">
        <f>IF(F14=0,"",IFERROR(F14/F13,""))</f>
        <v/>
      </c>
      <c r="G15" s="10">
        <f>IF(G14=0,"",IFERROR(G14/G13,""))</f>
        <v/>
      </c>
      <c r="H15" s="10">
        <f>IF(H14=0,"",IFERROR(H14/H13,""))</f>
        <v/>
      </c>
      <c r="I15" s="10">
        <f>IF(I14=0,"",IFERROR(I14/I13,""))</f>
        <v/>
      </c>
      <c r="J15" s="10">
        <f>IF(J14=0,"",IFERROR(J14/J13,""))</f>
        <v/>
      </c>
      <c r="K15" s="10">
        <f>IF(K14=0,"",IFERROR(K14/K13,""))</f>
        <v/>
      </c>
      <c r="L15" s="10">
        <f>IF(L14=0,"",IFERROR(L14/L13,""))</f>
        <v/>
      </c>
      <c r="M15" s="10">
        <f>IF(M14=0,"",IFERROR(M14/M13,""))</f>
        <v/>
      </c>
      <c r="N15" s="11">
        <f>IF(N14=0,"",IFERROR(N14/N13,""))</f>
        <v/>
      </c>
    </row>
    <row r="16">
      <c r="A16" s="5" t="inlineStr">
        <is>
          <t>보증 매출 (계획)</t>
        </is>
      </c>
      <c r="B16" s="6">
        <f>'보증'!B7</f>
        <v/>
      </c>
      <c r="C16" s="6">
        <f>'보증'!C7</f>
        <v/>
      </c>
      <c r="D16" s="6">
        <f>'보증'!D7</f>
        <v/>
      </c>
      <c r="E16" s="6">
        <f>'보증'!E7</f>
        <v/>
      </c>
      <c r="F16" s="6">
        <f>'보증'!F7</f>
        <v/>
      </c>
      <c r="G16" s="6">
        <f>'보증'!G7</f>
        <v/>
      </c>
      <c r="H16" s="6">
        <f>'보증'!H7</f>
        <v/>
      </c>
      <c r="I16" s="6">
        <f>'보증'!I7</f>
        <v/>
      </c>
      <c r="J16" s="6">
        <f>'보증'!J7</f>
        <v/>
      </c>
      <c r="K16" s="6">
        <f>'보증'!K7</f>
        <v/>
      </c>
      <c r="L16" s="6">
        <f>'보증'!L7</f>
        <v/>
      </c>
      <c r="M16" s="6">
        <f>'보증'!M7</f>
        <v/>
      </c>
      <c r="N16" s="6">
        <f>'보증'!N7</f>
        <v/>
      </c>
    </row>
    <row r="17">
      <c r="A17" s="7" t="inlineStr">
        <is>
          <t>보증 매출 (실적)</t>
        </is>
      </c>
      <c r="B17" s="8">
        <f>'보증'!B18</f>
        <v/>
      </c>
      <c r="C17" s="8">
        <f>'보증'!C18</f>
        <v/>
      </c>
      <c r="D17" s="8">
        <f>'보증'!D18</f>
        <v/>
      </c>
      <c r="E17" s="8">
        <f>'보증'!E18</f>
        <v/>
      </c>
      <c r="F17" s="8">
        <f>'보증'!F18</f>
        <v/>
      </c>
      <c r="G17" s="8">
        <f>'보증'!G18</f>
        <v/>
      </c>
      <c r="H17" s="8">
        <f>'보증'!H18</f>
        <v/>
      </c>
      <c r="I17" s="8">
        <f>'보증'!I18</f>
        <v/>
      </c>
      <c r="J17" s="8">
        <f>'보증'!J18</f>
        <v/>
      </c>
      <c r="K17" s="8">
        <f>'보증'!K18</f>
        <v/>
      </c>
      <c r="L17" s="8">
        <f>'보증'!L18</f>
        <v/>
      </c>
      <c r="M17" s="8">
        <f>'보증'!M18</f>
        <v/>
      </c>
      <c r="N17" s="8">
        <f>'보증'!N18</f>
        <v/>
      </c>
    </row>
    <row r="18">
      <c r="A18" s="9" t="inlineStr">
        <is>
          <t xml:space="preserve">        보증 매출 달성률</t>
        </is>
      </c>
      <c r="B18" s="10">
        <f>IF(B17=0,"",IFERROR(B17/B16,""))</f>
        <v/>
      </c>
      <c r="C18" s="10">
        <f>IF(C17=0,"",IFERROR(C17/C16,""))</f>
        <v/>
      </c>
      <c r="D18" s="10">
        <f>IF(D17=0,"",IFERROR(D17/D16,""))</f>
        <v/>
      </c>
      <c r="E18" s="10">
        <f>IF(E17=0,"",IFERROR(E17/E16,""))</f>
        <v/>
      </c>
      <c r="F18" s="10">
        <f>IF(F17=0,"",IFERROR(F17/F16,""))</f>
        <v/>
      </c>
      <c r="G18" s="10">
        <f>IF(G17=0,"",IFERROR(G17/G16,""))</f>
        <v/>
      </c>
      <c r="H18" s="10">
        <f>IF(H17=0,"",IFERROR(H17/H16,""))</f>
        <v/>
      </c>
      <c r="I18" s="10">
        <f>IF(I17=0,"",IFERROR(I17/I16,""))</f>
        <v/>
      </c>
      <c r="J18" s="10">
        <f>IF(J17=0,"",IFERROR(J17/J16,""))</f>
        <v/>
      </c>
      <c r="K18" s="10">
        <f>IF(K17=0,"",IFERROR(K17/K16,""))</f>
        <v/>
      </c>
      <c r="L18" s="10">
        <f>IF(L17=0,"",IFERROR(L17/L16,""))</f>
        <v/>
      </c>
      <c r="M18" s="10">
        <f>IF(M17=0,"",IFERROR(M17/M16,""))</f>
        <v/>
      </c>
      <c r="N18" s="11">
        <f>IF(N17=0,"",IFERROR(N17/N16,""))</f>
        <v/>
      </c>
    </row>
    <row r="20">
      <c r="A20" s="4" t="inlineStr">
        <is>
          <t>Ⅲ. 통합 매출 합계  (금융 + 보증)</t>
        </is>
      </c>
    </row>
    <row r="21">
      <c r="A21" s="12" t="inlineStr">
        <is>
          <t>통합 매출 (계획)</t>
        </is>
      </c>
      <c r="B21" s="13">
        <f>B13+B16</f>
        <v/>
      </c>
      <c r="C21" s="13">
        <f>C13+C16</f>
        <v/>
      </c>
      <c r="D21" s="13">
        <f>D13+D16</f>
        <v/>
      </c>
      <c r="E21" s="13">
        <f>E13+E16</f>
        <v/>
      </c>
      <c r="F21" s="13">
        <f>F13+F16</f>
        <v/>
      </c>
      <c r="G21" s="13">
        <f>G13+G16</f>
        <v/>
      </c>
      <c r="H21" s="13">
        <f>H13+H16</f>
        <v/>
      </c>
      <c r="I21" s="13">
        <f>I13+I16</f>
        <v/>
      </c>
      <c r="J21" s="13">
        <f>J13+J16</f>
        <v/>
      </c>
      <c r="K21" s="13">
        <f>K13+K16</f>
        <v/>
      </c>
      <c r="L21" s="13">
        <f>L13+L16</f>
        <v/>
      </c>
      <c r="M21" s="13">
        <f>M13+M16</f>
        <v/>
      </c>
      <c r="N21" s="13">
        <f>N13+N16</f>
        <v/>
      </c>
    </row>
    <row r="22">
      <c r="A22" s="12" t="inlineStr">
        <is>
          <t>통합 매출 (실적)</t>
        </is>
      </c>
      <c r="B22" s="13">
        <f>B14+B17</f>
        <v/>
      </c>
      <c r="C22" s="13">
        <f>C14+C17</f>
        <v/>
      </c>
      <c r="D22" s="13">
        <f>D14+D17</f>
        <v/>
      </c>
      <c r="E22" s="13">
        <f>E14+E17</f>
        <v/>
      </c>
      <c r="F22" s="13">
        <f>F14+F17</f>
        <v/>
      </c>
      <c r="G22" s="13">
        <f>G14+G17</f>
        <v/>
      </c>
      <c r="H22" s="13">
        <f>H14+H17</f>
        <v/>
      </c>
      <c r="I22" s="13">
        <f>I14+I17</f>
        <v/>
      </c>
      <c r="J22" s="13">
        <f>J14+J17</f>
        <v/>
      </c>
      <c r="K22" s="13">
        <f>K14+K17</f>
        <v/>
      </c>
      <c r="L22" s="13">
        <f>L14+L17</f>
        <v/>
      </c>
      <c r="M22" s="13">
        <f>M14+M17</f>
        <v/>
      </c>
      <c r="N22" s="13">
        <f>N14+N17</f>
        <v/>
      </c>
    </row>
    <row r="23">
      <c r="A23" s="9" t="inlineStr">
        <is>
          <t>통합 매출 달성률</t>
        </is>
      </c>
      <c r="B23" s="10">
        <f>IF(B22=0,"",IFERROR(B22/B21,""))</f>
        <v/>
      </c>
      <c r="C23" s="10">
        <f>IF(C22=0,"",IFERROR(C22/C21,""))</f>
        <v/>
      </c>
      <c r="D23" s="10">
        <f>IF(D22=0,"",IFERROR(D22/D21,""))</f>
        <v/>
      </c>
      <c r="E23" s="10">
        <f>IF(E22=0,"",IFERROR(E22/E21,""))</f>
        <v/>
      </c>
      <c r="F23" s="10">
        <f>IF(F22=0,"",IFERROR(F22/F21,""))</f>
        <v/>
      </c>
      <c r="G23" s="10">
        <f>IF(G22=0,"",IFERROR(G22/G21,""))</f>
        <v/>
      </c>
      <c r="H23" s="10">
        <f>IF(H22=0,"",IFERROR(H22/H21,""))</f>
        <v/>
      </c>
      <c r="I23" s="10">
        <f>IF(I22=0,"",IFERROR(I22/I21,""))</f>
        <v/>
      </c>
      <c r="J23" s="10">
        <f>IF(J22=0,"",IFERROR(J22/J21,""))</f>
        <v/>
      </c>
      <c r="K23" s="10">
        <f>IF(K22=0,"",IFERROR(K22/K21,""))</f>
        <v/>
      </c>
      <c r="L23" s="10">
        <f>IF(L22=0,"",IFERROR(L22/L21,""))</f>
        <v/>
      </c>
      <c r="M23" s="10">
        <f>IF(M22=0,"",IFERROR(M22/M21,""))</f>
        <v/>
      </c>
      <c r="N23" s="11">
        <f>IF(N22=0,"",IFERROR(N22/N21,""))</f>
        <v/>
      </c>
    </row>
  </sheetData>
  <mergeCells count="5">
    <mergeCell ref="A12:N12"/>
    <mergeCell ref="A4:N4"/>
    <mergeCell ref="A20:N20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금융 사업계획 (CY26)</t>
        </is>
      </c>
    </row>
    <row r="2">
      <c r="A2" s="2" t="inlineStr">
        <is>
          <t>단위: 원 ｜ 메인지표=여신액 ｜ H/S금융=선불(일반금융)+후불(EP금융), 신규=금융플러스+엔카페이2.0 ｜ 노란칸=실적 입력 ｜ 회색=자동합계 수식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OKR ▷ Objective: 월 평균 여신액 증가분 (KR1 기존 소매금융 / KR2 신규 소매금융)</t>
        </is>
      </c>
    </row>
    <row r="5">
      <c r="A5" s="4" t="inlineStr">
        <is>
          <t>Ⅰ. 여신액 (메인)</t>
        </is>
      </c>
    </row>
    <row r="6">
      <c r="A6" s="14" t="inlineStr">
        <is>
          <t xml:space="preserve">  [계획]</t>
        </is>
      </c>
    </row>
    <row r="7">
      <c r="A7" s="15" t="inlineStr">
        <is>
          <t>총 여신액</t>
        </is>
      </c>
      <c r="B7" s="16">
        <f>B8+B13</f>
        <v/>
      </c>
      <c r="C7" s="16">
        <f>C8+C13</f>
        <v/>
      </c>
      <c r="D7" s="16">
        <f>D8+D13</f>
        <v/>
      </c>
      <c r="E7" s="16">
        <f>E8+E13</f>
        <v/>
      </c>
      <c r="F7" s="16">
        <f>F8+F13</f>
        <v/>
      </c>
      <c r="G7" s="16">
        <f>G8+G13</f>
        <v/>
      </c>
      <c r="H7" s="16">
        <f>H8+H13</f>
        <v/>
      </c>
      <c r="I7" s="16">
        <f>I8+I13</f>
        <v/>
      </c>
      <c r="J7" s="16">
        <f>J8+J13</f>
        <v/>
      </c>
      <c r="K7" s="16">
        <f>K8+K13</f>
        <v/>
      </c>
      <c r="L7" s="16">
        <f>L8+L13</f>
        <v/>
      </c>
      <c r="M7" s="16">
        <f>M8+M13</f>
        <v/>
      </c>
      <c r="N7" s="16">
        <f>SUM(B7:M7)</f>
        <v/>
      </c>
    </row>
    <row r="8">
      <c r="A8" s="5" t="inlineStr">
        <is>
          <t xml:space="preserve">      1. 기존 소매금융</t>
        </is>
      </c>
      <c r="B8" s="6">
        <f>B9+B12</f>
        <v/>
      </c>
      <c r="C8" s="6">
        <f>C9+C12</f>
        <v/>
      </c>
      <c r="D8" s="6">
        <f>D9+D12</f>
        <v/>
      </c>
      <c r="E8" s="6">
        <f>E9+E12</f>
        <v/>
      </c>
      <c r="F8" s="6">
        <f>F9+F12</f>
        <v/>
      </c>
      <c r="G8" s="6">
        <f>G9+G12</f>
        <v/>
      </c>
      <c r="H8" s="6">
        <f>H9+H12</f>
        <v/>
      </c>
      <c r="I8" s="6">
        <f>I9+I12</f>
        <v/>
      </c>
      <c r="J8" s="6">
        <f>J9+J12</f>
        <v/>
      </c>
      <c r="K8" s="6">
        <f>K9+K12</f>
        <v/>
      </c>
      <c r="L8" s="6">
        <f>L9+L12</f>
        <v/>
      </c>
      <c r="M8" s="6">
        <f>M9+M12</f>
        <v/>
      </c>
      <c r="N8" s="6">
        <f>SUM(B8:M8)</f>
        <v/>
      </c>
    </row>
    <row r="9">
      <c r="A9" s="17" t="inlineStr">
        <is>
          <t xml:space="preserve">            (1) H/S 금융</t>
        </is>
      </c>
      <c r="B9" s="18">
        <f>B10+B11</f>
        <v/>
      </c>
      <c r="C9" s="18">
        <f>C10+C11</f>
        <v/>
      </c>
      <c r="D9" s="18">
        <f>D10+D11</f>
        <v/>
      </c>
      <c r="E9" s="18">
        <f>E10+E11</f>
        <v/>
      </c>
      <c r="F9" s="18">
        <f>F10+F11</f>
        <v/>
      </c>
      <c r="G9" s="18">
        <f>G10+G11</f>
        <v/>
      </c>
      <c r="H9" s="18">
        <f>H10+H11</f>
        <v/>
      </c>
      <c r="I9" s="18">
        <f>I10+I11</f>
        <v/>
      </c>
      <c r="J9" s="18">
        <f>J10+J11</f>
        <v/>
      </c>
      <c r="K9" s="18">
        <f>K10+K11</f>
        <v/>
      </c>
      <c r="L9" s="18">
        <f>L10+L11</f>
        <v/>
      </c>
      <c r="M9" s="18">
        <f>M10+M11</f>
        <v/>
      </c>
      <c r="N9" s="18">
        <f>SUM(B9:M9)</f>
        <v/>
      </c>
    </row>
    <row r="10">
      <c r="A10" s="19" t="inlineStr">
        <is>
          <t xml:space="preserve">                  선불 · 일반금융 여신액</t>
        </is>
      </c>
      <c r="B10" s="20" t="n">
        <v>7700000000</v>
      </c>
      <c r="C10" s="20" t="n">
        <v>7500000000</v>
      </c>
      <c r="D10" s="20" t="n">
        <v>7600000000</v>
      </c>
      <c r="E10" s="20" t="n">
        <v>7600000000</v>
      </c>
      <c r="F10" s="20" t="n">
        <v>6750000000</v>
      </c>
      <c r="G10" s="20" t="n">
        <v>7100000000</v>
      </c>
      <c r="H10" s="20" t="n">
        <v>10950000000</v>
      </c>
      <c r="I10" s="20" t="n">
        <v>9500000000</v>
      </c>
      <c r="J10" s="20" t="n">
        <v>9200000000</v>
      </c>
      <c r="K10" s="20" t="n">
        <v>8950000000</v>
      </c>
      <c r="L10" s="20" t="n">
        <v>7650000000</v>
      </c>
      <c r="M10" s="20" t="n">
        <v>8500000000</v>
      </c>
      <c r="N10" s="20">
        <f>SUM(B10:M10)</f>
        <v/>
      </c>
    </row>
    <row r="11">
      <c r="A11" s="19" t="inlineStr">
        <is>
          <t xml:space="preserve">                  후불 · EP 금융 여신액</t>
        </is>
      </c>
      <c r="B11" s="20" t="n">
        <v>3080000000</v>
      </c>
      <c r="C11" s="20" t="n">
        <v>3000000000</v>
      </c>
      <c r="D11" s="20" t="n">
        <v>3040000000</v>
      </c>
      <c r="E11" s="20" t="n">
        <v>3040000000</v>
      </c>
      <c r="F11" s="20" t="n">
        <v>2700000000</v>
      </c>
      <c r="G11" s="20" t="n">
        <v>2840000000</v>
      </c>
      <c r="H11" s="20" t="n">
        <v>4380000000</v>
      </c>
      <c r="I11" s="20" t="n">
        <v>3800000000</v>
      </c>
      <c r="J11" s="20" t="n">
        <v>3680000000</v>
      </c>
      <c r="K11" s="20" t="n">
        <v>3580000000</v>
      </c>
      <c r="L11" s="20" t="n">
        <v>3060000000</v>
      </c>
      <c r="M11" s="20" t="n">
        <v>3400000000</v>
      </c>
      <c r="N11" s="20">
        <f>SUM(B11:M11)</f>
        <v/>
      </c>
    </row>
    <row r="12">
      <c r="A12" s="21" t="inlineStr">
        <is>
          <t xml:space="preserve">            (2) 일반 금융</t>
        </is>
      </c>
      <c r="B12" s="22" t="n">
        <v>4620000000</v>
      </c>
      <c r="C12" s="22" t="n">
        <v>4500000000</v>
      </c>
      <c r="D12" s="22" t="n">
        <v>4560000000</v>
      </c>
      <c r="E12" s="22" t="n">
        <v>4560000000</v>
      </c>
      <c r="F12" s="22" t="n">
        <v>4050000000</v>
      </c>
      <c r="G12" s="22" t="n">
        <v>4260000000</v>
      </c>
      <c r="H12" s="22" t="n">
        <v>6570000000</v>
      </c>
      <c r="I12" s="22" t="n">
        <v>5700000000</v>
      </c>
      <c r="J12" s="22" t="n">
        <v>5520000000</v>
      </c>
      <c r="K12" s="22" t="n">
        <v>5370000000</v>
      </c>
      <c r="L12" s="22" t="n">
        <v>4590000000</v>
      </c>
      <c r="M12" s="22" t="n">
        <v>5100000000</v>
      </c>
      <c r="N12" s="22">
        <f>SUM(B12:M12)</f>
        <v/>
      </c>
    </row>
    <row r="13">
      <c r="A13" s="5" t="inlineStr">
        <is>
          <t xml:space="preserve">      2. 신규 소매금융</t>
        </is>
      </c>
      <c r="B13" s="6">
        <f>B14+B15</f>
        <v/>
      </c>
      <c r="C13" s="6">
        <f>C14+C15</f>
        <v/>
      </c>
      <c r="D13" s="6">
        <f>D14+D15</f>
        <v/>
      </c>
      <c r="E13" s="6">
        <f>E14+E15</f>
        <v/>
      </c>
      <c r="F13" s="6">
        <f>F14+F15</f>
        <v/>
      </c>
      <c r="G13" s="6">
        <f>G14+G15</f>
        <v/>
      </c>
      <c r="H13" s="6">
        <f>H14+H15</f>
        <v/>
      </c>
      <c r="I13" s="6">
        <f>I14+I15</f>
        <v/>
      </c>
      <c r="J13" s="6">
        <f>J14+J15</f>
        <v/>
      </c>
      <c r="K13" s="6">
        <f>K14+K15</f>
        <v/>
      </c>
      <c r="L13" s="6">
        <f>L14+L15</f>
        <v/>
      </c>
      <c r="M13" s="6">
        <f>M14+M15</f>
        <v/>
      </c>
      <c r="N13" s="6">
        <f>SUM(B13:M13)</f>
        <v/>
      </c>
    </row>
    <row r="14">
      <c r="A14" s="21" t="inlineStr">
        <is>
          <t xml:space="preserve">            (1) 금융 플러스</t>
        </is>
      </c>
      <c r="B14" s="22" t="n">
        <v>0</v>
      </c>
      <c r="C14" s="22" t="n">
        <v>100000000</v>
      </c>
      <c r="D14" s="22" t="n">
        <v>300000000</v>
      </c>
      <c r="E14" s="22" t="n">
        <v>600000000</v>
      </c>
      <c r="F14" s="22" t="n">
        <v>1000000000</v>
      </c>
      <c r="G14" s="22" t="n">
        <v>2000000000</v>
      </c>
      <c r="H14" s="22" t="n">
        <v>4100000000</v>
      </c>
      <c r="I14" s="22" t="n">
        <v>3600000000</v>
      </c>
      <c r="J14" s="22" t="n">
        <v>3300000000</v>
      </c>
      <c r="K14" s="22" t="n">
        <v>3100000000</v>
      </c>
      <c r="L14" s="22" t="n">
        <v>2600000000</v>
      </c>
      <c r="M14" s="22" t="n">
        <v>3300000000</v>
      </c>
      <c r="N14" s="22">
        <f>SUM(B14:M14)</f>
        <v/>
      </c>
    </row>
    <row r="15">
      <c r="A15" s="21" t="inlineStr">
        <is>
          <t xml:space="preserve">            (2) 엔카페이 2.0 (EP 2.0)</t>
        </is>
      </c>
      <c r="B15" s="22" t="n">
        <v>0</v>
      </c>
      <c r="C15" s="22" t="n">
        <v>0</v>
      </c>
      <c r="D15" s="22" t="n">
        <v>0</v>
      </c>
      <c r="E15" s="22" t="n">
        <v>800000000</v>
      </c>
      <c r="F15" s="22" t="n">
        <v>1100000000</v>
      </c>
      <c r="G15" s="22" t="n">
        <v>2000000000</v>
      </c>
      <c r="H15" s="22" t="n">
        <v>4000000000</v>
      </c>
      <c r="I15" s="22" t="n">
        <v>3800000000</v>
      </c>
      <c r="J15" s="22" t="n">
        <v>3400000000</v>
      </c>
      <c r="K15" s="22" t="n">
        <v>3300000000</v>
      </c>
      <c r="L15" s="22" t="n">
        <v>2300000000</v>
      </c>
      <c r="M15" s="22" t="n">
        <v>3300000000</v>
      </c>
      <c r="N15" s="22">
        <f>SUM(B15:M15)</f>
        <v/>
      </c>
    </row>
    <row r="16">
      <c r="A16" s="14" t="inlineStr">
        <is>
          <t xml:space="preserve">  [실적]</t>
        </is>
      </c>
    </row>
    <row r="17">
      <c r="A17" s="15" t="inlineStr">
        <is>
          <t>총 여신액</t>
        </is>
      </c>
      <c r="B17" s="16">
        <f>B18+B23</f>
        <v/>
      </c>
      <c r="C17" s="16">
        <f>C18+C23</f>
        <v/>
      </c>
      <c r="D17" s="16">
        <f>D18+D23</f>
        <v/>
      </c>
      <c r="E17" s="16">
        <f>E18+E23</f>
        <v/>
      </c>
      <c r="F17" s="16">
        <f>F18+F23</f>
        <v/>
      </c>
      <c r="G17" s="16">
        <f>G18+G23</f>
        <v/>
      </c>
      <c r="H17" s="16">
        <f>H18+H23</f>
        <v/>
      </c>
      <c r="I17" s="16">
        <f>I18+I23</f>
        <v/>
      </c>
      <c r="J17" s="16">
        <f>J18+J23</f>
        <v/>
      </c>
      <c r="K17" s="16">
        <f>K18+K23</f>
        <v/>
      </c>
      <c r="L17" s="16">
        <f>L18+L23</f>
        <v/>
      </c>
      <c r="M17" s="16">
        <f>M18+M23</f>
        <v/>
      </c>
      <c r="N17" s="16">
        <f>SUM(B17:M17)</f>
        <v/>
      </c>
    </row>
    <row r="18">
      <c r="A18" s="5" t="inlineStr">
        <is>
          <t xml:space="preserve">      1. 기존 소매금융</t>
        </is>
      </c>
      <c r="B18" s="6">
        <f>B19+B22</f>
        <v/>
      </c>
      <c r="C18" s="6">
        <f>C19+C22</f>
        <v/>
      </c>
      <c r="D18" s="6">
        <f>D19+D22</f>
        <v/>
      </c>
      <c r="E18" s="6">
        <f>E19+E22</f>
        <v/>
      </c>
      <c r="F18" s="6">
        <f>F19+F22</f>
        <v/>
      </c>
      <c r="G18" s="6">
        <f>G19+G22</f>
        <v/>
      </c>
      <c r="H18" s="6">
        <f>H19+H22</f>
        <v/>
      </c>
      <c r="I18" s="6">
        <f>I19+I22</f>
        <v/>
      </c>
      <c r="J18" s="6">
        <f>J19+J22</f>
        <v/>
      </c>
      <c r="K18" s="6">
        <f>K19+K22</f>
        <v/>
      </c>
      <c r="L18" s="6">
        <f>L19+L22</f>
        <v/>
      </c>
      <c r="M18" s="6">
        <f>M19+M22</f>
        <v/>
      </c>
      <c r="N18" s="6">
        <f>SUM(B18:M18)</f>
        <v/>
      </c>
    </row>
    <row r="19">
      <c r="A19" s="17" t="inlineStr">
        <is>
          <t xml:space="preserve">            (1) H/S 금융</t>
        </is>
      </c>
      <c r="B19" s="18">
        <f>B20+B21</f>
        <v/>
      </c>
      <c r="C19" s="18">
        <f>C20+C21</f>
        <v/>
      </c>
      <c r="D19" s="18">
        <f>D20+D21</f>
        <v/>
      </c>
      <c r="E19" s="18">
        <f>E20+E21</f>
        <v/>
      </c>
      <c r="F19" s="18">
        <f>F20+F21</f>
        <v/>
      </c>
      <c r="G19" s="18">
        <f>G20+G21</f>
        <v/>
      </c>
      <c r="H19" s="18">
        <f>H20+H21</f>
        <v/>
      </c>
      <c r="I19" s="18">
        <f>I20+I21</f>
        <v/>
      </c>
      <c r="J19" s="18">
        <f>J20+J21</f>
        <v/>
      </c>
      <c r="K19" s="18">
        <f>K20+K21</f>
        <v/>
      </c>
      <c r="L19" s="18">
        <f>L20+L21</f>
        <v/>
      </c>
      <c r="M19" s="18">
        <f>M20+M21</f>
        <v/>
      </c>
      <c r="N19" s="18">
        <f>SUM(B19:M19)</f>
        <v/>
      </c>
    </row>
    <row r="20">
      <c r="A20" s="19" t="inlineStr">
        <is>
          <t xml:space="preserve">                  선불 · 일반금융 여신액</t>
        </is>
      </c>
      <c r="B20" s="23" t="n">
        <v>7283500000</v>
      </c>
      <c r="C20" s="23" t="n">
        <v>6276200000</v>
      </c>
      <c r="D20" s="23" t="n">
        <v>9169500000</v>
      </c>
      <c r="E20" s="23" t="n">
        <v>9594900000</v>
      </c>
      <c r="F20" s="23" t="n">
        <v>10409700000</v>
      </c>
      <c r="G20" s="23" t="n">
        <v>5772900000</v>
      </c>
      <c r="H20" s="23" t="n"/>
      <c r="I20" s="23" t="n"/>
      <c r="J20" s="23" t="n"/>
      <c r="K20" s="23" t="n"/>
      <c r="L20" s="23" t="n"/>
      <c r="M20" s="23" t="n"/>
      <c r="N20" s="23">
        <f>SUM(B20:M20)</f>
        <v/>
      </c>
    </row>
    <row r="21">
      <c r="A21" s="19" t="inlineStr">
        <is>
          <t xml:space="preserve">                  후불 · EP 금융 여신액</t>
        </is>
      </c>
      <c r="B21" s="23" t="n">
        <v>4157700000</v>
      </c>
      <c r="C21" s="23" t="n">
        <v>3117600000</v>
      </c>
      <c r="D21" s="23" t="n">
        <v>2994700000</v>
      </c>
      <c r="E21" s="23" t="n">
        <v>3580700000</v>
      </c>
      <c r="F21" s="23" t="n">
        <v>3965000000</v>
      </c>
      <c r="G21" s="23" t="n">
        <v>3580700000</v>
      </c>
      <c r="H21" s="23" t="n"/>
      <c r="I21" s="23" t="n"/>
      <c r="J21" s="23" t="n"/>
      <c r="K21" s="23" t="n"/>
      <c r="L21" s="23" t="n"/>
      <c r="M21" s="23" t="n"/>
      <c r="N21" s="23">
        <f>SUM(B21:M21)</f>
        <v/>
      </c>
    </row>
    <row r="22">
      <c r="A22" s="21" t="inlineStr">
        <is>
          <t xml:space="preserve">            (2) 일반 금융</t>
        </is>
      </c>
      <c r="B22" s="23" t="n">
        <v>5109600000</v>
      </c>
      <c r="C22" s="23" t="n">
        <v>3948500000</v>
      </c>
      <c r="D22" s="23" t="n">
        <v>6257500000</v>
      </c>
      <c r="E22" s="23" t="n">
        <v>5288100000</v>
      </c>
      <c r="F22" s="23" t="n">
        <v>4279400000</v>
      </c>
      <c r="G22" s="23" t="n">
        <v>2377700000</v>
      </c>
      <c r="H22" s="23" t="n"/>
      <c r="I22" s="23" t="n"/>
      <c r="J22" s="23" t="n"/>
      <c r="K22" s="23" t="n"/>
      <c r="L22" s="23" t="n"/>
      <c r="M22" s="23" t="n"/>
      <c r="N22" s="23">
        <f>SUM(B22:M22)</f>
        <v/>
      </c>
    </row>
    <row r="23">
      <c r="A23" s="5" t="inlineStr">
        <is>
          <t xml:space="preserve">      2. 신규 소매금융</t>
        </is>
      </c>
      <c r="B23" s="6">
        <f>B24+B25</f>
        <v/>
      </c>
      <c r="C23" s="6">
        <f>C24+C25</f>
        <v/>
      </c>
      <c r="D23" s="6">
        <f>D24+D25</f>
        <v/>
      </c>
      <c r="E23" s="6">
        <f>E24+E25</f>
        <v/>
      </c>
      <c r="F23" s="6">
        <f>F24+F25</f>
        <v/>
      </c>
      <c r="G23" s="6">
        <f>G24+G25</f>
        <v/>
      </c>
      <c r="H23" s="6">
        <f>H24+H25</f>
        <v/>
      </c>
      <c r="I23" s="6">
        <f>I24+I25</f>
        <v/>
      </c>
      <c r="J23" s="6">
        <f>J24+J25</f>
        <v/>
      </c>
      <c r="K23" s="6">
        <f>K24+K25</f>
        <v/>
      </c>
      <c r="L23" s="6">
        <f>L24+L25</f>
        <v/>
      </c>
      <c r="M23" s="6">
        <f>M24+M25</f>
        <v/>
      </c>
      <c r="N23" s="6">
        <f>SUM(B23:M23)</f>
        <v/>
      </c>
    </row>
    <row r="24">
      <c r="A24" s="21" t="inlineStr">
        <is>
          <t xml:space="preserve">            (1) 금융 플러스</t>
        </is>
      </c>
      <c r="B24" s="23" t="n">
        <v>147700000</v>
      </c>
      <c r="C24" s="23" t="n">
        <v>21000000</v>
      </c>
      <c r="D24" s="23" t="n">
        <v>26400000</v>
      </c>
      <c r="E24" s="23" t="n">
        <v>27000000</v>
      </c>
      <c r="F24" s="23" t="n">
        <v>40000000</v>
      </c>
      <c r="G24" s="23" t="n"/>
      <c r="H24" s="23" t="n"/>
      <c r="I24" s="23" t="n"/>
      <c r="J24" s="23" t="n"/>
      <c r="K24" s="23" t="n"/>
      <c r="L24" s="23" t="n"/>
      <c r="M24" s="23" t="n"/>
      <c r="N24" s="23">
        <f>SUM(B24:M24)</f>
        <v/>
      </c>
    </row>
    <row r="25">
      <c r="A25" s="21" t="inlineStr">
        <is>
          <t xml:space="preserve">            (2) 엔카페이 2.0 (EP 2.0)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>
        <f>SUM(B25:M25)</f>
        <v/>
      </c>
    </row>
    <row r="26">
      <c r="A26" s="9" t="inlineStr">
        <is>
          <t>여신액 달성률 (총)</t>
        </is>
      </c>
      <c r="B26" s="10">
        <f>IF(B17=0,"",IFERROR(B17/B7,""))</f>
        <v/>
      </c>
      <c r="C26" s="10">
        <f>IF(C17=0,"",IFERROR(C17/C7,""))</f>
        <v/>
      </c>
      <c r="D26" s="10">
        <f>IF(D17=0,"",IFERROR(D17/D7,""))</f>
        <v/>
      </c>
      <c r="E26" s="10">
        <f>IF(E17=0,"",IFERROR(E17/E7,""))</f>
        <v/>
      </c>
      <c r="F26" s="10">
        <f>IF(F17=0,"",IFERROR(F17/F7,""))</f>
        <v/>
      </c>
      <c r="G26" s="10">
        <f>IF(G17=0,"",IFERROR(G17/G7,""))</f>
        <v/>
      </c>
      <c r="H26" s="10">
        <f>IF(H17=0,"",IFERROR(H17/H7,""))</f>
        <v/>
      </c>
      <c r="I26" s="10">
        <f>IF(I17=0,"",IFERROR(I17/I7,""))</f>
        <v/>
      </c>
      <c r="J26" s="10">
        <f>IF(J17=0,"",IFERROR(J17/J7,""))</f>
        <v/>
      </c>
      <c r="K26" s="10">
        <f>IF(K17=0,"",IFERROR(K17/K7,""))</f>
        <v/>
      </c>
      <c r="L26" s="10">
        <f>IF(L17=0,"",IFERROR(L17/L7,""))</f>
        <v/>
      </c>
      <c r="M26" s="10">
        <f>IF(M17=0,"",IFERROR(M17/M7,""))</f>
        <v/>
      </c>
      <c r="N26" s="11">
        <f>IF(N17=0,"",IFERROR(N17/N7,""))</f>
        <v/>
      </c>
    </row>
    <row r="27">
      <c r="A27" s="9" t="inlineStr">
        <is>
          <t xml:space="preserve">        └ 기존 소매금융</t>
        </is>
      </c>
      <c r="B27" s="10">
        <f>IF(B18=0,"",IFERROR(B18/B8,""))</f>
        <v/>
      </c>
      <c r="C27" s="10">
        <f>IF(C18=0,"",IFERROR(C18/C8,""))</f>
        <v/>
      </c>
      <c r="D27" s="10">
        <f>IF(D18=0,"",IFERROR(D18/D8,""))</f>
        <v/>
      </c>
      <c r="E27" s="10">
        <f>IF(E18=0,"",IFERROR(E18/E8,""))</f>
        <v/>
      </c>
      <c r="F27" s="10">
        <f>IF(F18=0,"",IFERROR(F18/F8,""))</f>
        <v/>
      </c>
      <c r="G27" s="10">
        <f>IF(G18=0,"",IFERROR(G18/G8,""))</f>
        <v/>
      </c>
      <c r="H27" s="10">
        <f>IF(H18=0,"",IFERROR(H18/H8,""))</f>
        <v/>
      </c>
      <c r="I27" s="10">
        <f>IF(I18=0,"",IFERROR(I18/I8,""))</f>
        <v/>
      </c>
      <c r="J27" s="10">
        <f>IF(J18=0,"",IFERROR(J18/J8,""))</f>
        <v/>
      </c>
      <c r="K27" s="10">
        <f>IF(K18=0,"",IFERROR(K18/K8,""))</f>
        <v/>
      </c>
      <c r="L27" s="10">
        <f>IF(L18=0,"",IFERROR(L18/L8,""))</f>
        <v/>
      </c>
      <c r="M27" s="10">
        <f>IF(M18=0,"",IFERROR(M18/M8,""))</f>
        <v/>
      </c>
      <c r="N27" s="11">
        <f>IF(N18=0,"",IFERROR(N18/N8,""))</f>
        <v/>
      </c>
    </row>
    <row r="28">
      <c r="A28" s="9" t="inlineStr">
        <is>
          <t xml:space="preserve">        └ 신규 소매금융</t>
        </is>
      </c>
      <c r="B28" s="10">
        <f>IF(B23=0,"",IFERROR(B23/B13,""))</f>
        <v/>
      </c>
      <c r="C28" s="10">
        <f>IF(C23=0,"",IFERROR(C23/C13,""))</f>
        <v/>
      </c>
      <c r="D28" s="10">
        <f>IF(D23=0,"",IFERROR(D23/D13,""))</f>
        <v/>
      </c>
      <c r="E28" s="10">
        <f>IF(E23=0,"",IFERROR(E23/E13,""))</f>
        <v/>
      </c>
      <c r="F28" s="10">
        <f>IF(F23=0,"",IFERROR(F23/F13,""))</f>
        <v/>
      </c>
      <c r="G28" s="10">
        <f>IF(G23=0,"",IFERROR(G23/G13,""))</f>
        <v/>
      </c>
      <c r="H28" s="10">
        <f>IF(H23=0,"",IFERROR(H23/H13,""))</f>
        <v/>
      </c>
      <c r="I28" s="10">
        <f>IF(I23=0,"",IFERROR(I23/I13,""))</f>
        <v/>
      </c>
      <c r="J28" s="10">
        <f>IF(J23=0,"",IFERROR(J23/J13,""))</f>
        <v/>
      </c>
      <c r="K28" s="10">
        <f>IF(K23=0,"",IFERROR(K23/K13,""))</f>
        <v/>
      </c>
      <c r="L28" s="10">
        <f>IF(L23=0,"",IFERROR(L23/L13,""))</f>
        <v/>
      </c>
      <c r="M28" s="10">
        <f>IF(M23=0,"",IFERROR(M23/M13,""))</f>
        <v/>
      </c>
      <c r="N28" s="11">
        <f>IF(N23=0,"",IFERROR(N23/N13,""))</f>
        <v/>
      </c>
    </row>
    <row r="30">
      <c r="A30" s="4" t="inlineStr">
        <is>
          <t>Ⅱ. 매출 (본업 + 연계 광고)</t>
        </is>
      </c>
    </row>
    <row r="31">
      <c r="A31" s="14" t="inlineStr">
        <is>
          <t xml:space="preserve">  [계획]</t>
        </is>
      </c>
    </row>
    <row r="32">
      <c r="A32" s="15" t="inlineStr">
        <is>
          <t>총 매출액</t>
        </is>
      </c>
      <c r="B32" s="16">
        <f>B33+B42</f>
        <v/>
      </c>
      <c r="C32" s="16">
        <f>C33+C42</f>
        <v/>
      </c>
      <c r="D32" s="16">
        <f>D33+D42</f>
        <v/>
      </c>
      <c r="E32" s="16">
        <f>E33+E42</f>
        <v/>
      </c>
      <c r="F32" s="16">
        <f>F33+F42</f>
        <v/>
      </c>
      <c r="G32" s="16">
        <f>G33+G42</f>
        <v/>
      </c>
      <c r="H32" s="16">
        <f>H33+H42</f>
        <v/>
      </c>
      <c r="I32" s="16">
        <f>I33+I42</f>
        <v/>
      </c>
      <c r="J32" s="16">
        <f>J33+J42</f>
        <v/>
      </c>
      <c r="K32" s="16">
        <f>K33+K42</f>
        <v/>
      </c>
      <c r="L32" s="16">
        <f>L33+L42</f>
        <v/>
      </c>
      <c r="M32" s="16">
        <f>M33+M42</f>
        <v/>
      </c>
      <c r="N32" s="16">
        <f>SUM(B32:M32)</f>
        <v/>
      </c>
    </row>
    <row r="33">
      <c r="A33" s="5" t="inlineStr">
        <is>
          <t xml:space="preserve">      Ⅰ. 금융 매출</t>
        </is>
      </c>
      <c r="B33" s="6">
        <f>B34+B39</f>
        <v/>
      </c>
      <c r="C33" s="6">
        <f>C34+C39</f>
        <v/>
      </c>
      <c r="D33" s="6">
        <f>D34+D39</f>
        <v/>
      </c>
      <c r="E33" s="6">
        <f>E34+E39</f>
        <v/>
      </c>
      <c r="F33" s="6">
        <f>F34+F39</f>
        <v/>
      </c>
      <c r="G33" s="6">
        <f>G34+G39</f>
        <v/>
      </c>
      <c r="H33" s="6">
        <f>H34+H39</f>
        <v/>
      </c>
      <c r="I33" s="6">
        <f>I34+I39</f>
        <v/>
      </c>
      <c r="J33" s="6">
        <f>J34+J39</f>
        <v/>
      </c>
      <c r="K33" s="6">
        <f>K34+K39</f>
        <v/>
      </c>
      <c r="L33" s="6">
        <f>L34+L39</f>
        <v/>
      </c>
      <c r="M33" s="6">
        <f>M34+M39</f>
        <v/>
      </c>
      <c r="N33" s="6">
        <f>SUM(B33:M33)</f>
        <v/>
      </c>
    </row>
    <row r="34">
      <c r="A34" s="17" t="inlineStr">
        <is>
          <t xml:space="preserve">            1. 기존 소매금융</t>
        </is>
      </c>
      <c r="B34" s="18">
        <f>B35+B38</f>
        <v/>
      </c>
      <c r="C34" s="18">
        <f>C35+C38</f>
        <v/>
      </c>
      <c r="D34" s="18">
        <f>D35+D38</f>
        <v/>
      </c>
      <c r="E34" s="18">
        <f>E35+E38</f>
        <v/>
      </c>
      <c r="F34" s="18">
        <f>F35+F38</f>
        <v/>
      </c>
      <c r="G34" s="18">
        <f>G35+G38</f>
        <v/>
      </c>
      <c r="H34" s="18">
        <f>H35+H38</f>
        <v/>
      </c>
      <c r="I34" s="18">
        <f>I35+I38</f>
        <v/>
      </c>
      <c r="J34" s="18">
        <f>J35+J38</f>
        <v/>
      </c>
      <c r="K34" s="18">
        <f>K35+K38</f>
        <v/>
      </c>
      <c r="L34" s="18">
        <f>L35+L38</f>
        <v/>
      </c>
      <c r="M34" s="18">
        <f>M35+M38</f>
        <v/>
      </c>
      <c r="N34" s="18">
        <f>SUM(B34:M34)</f>
        <v/>
      </c>
    </row>
    <row r="35">
      <c r="A35" s="24" t="inlineStr">
        <is>
          <t xml:space="preserve">                  (1) H/S 금융</t>
        </is>
      </c>
      <c r="B35" s="25">
        <f>B36+B37</f>
        <v/>
      </c>
      <c r="C35" s="25">
        <f>C36+C37</f>
        <v/>
      </c>
      <c r="D35" s="25">
        <f>D36+D37</f>
        <v/>
      </c>
      <c r="E35" s="25">
        <f>E36+E37</f>
        <v/>
      </c>
      <c r="F35" s="25">
        <f>F36+F37</f>
        <v/>
      </c>
      <c r="G35" s="25">
        <f>G36+G37</f>
        <v/>
      </c>
      <c r="H35" s="25">
        <f>H36+H37</f>
        <v/>
      </c>
      <c r="I35" s="25">
        <f>I36+I37</f>
        <v/>
      </c>
      <c r="J35" s="25">
        <f>J36+J37</f>
        <v/>
      </c>
      <c r="K35" s="25">
        <f>K36+K37</f>
        <v/>
      </c>
      <c r="L35" s="25">
        <f>L36+L37</f>
        <v/>
      </c>
      <c r="M35" s="25">
        <f>M36+M37</f>
        <v/>
      </c>
      <c r="N35" s="25">
        <f>SUM(B35:M35)</f>
        <v/>
      </c>
    </row>
    <row r="36">
      <c r="A36" s="19" t="inlineStr">
        <is>
          <t xml:space="preserve">                        선불 · 일반금융 매출</t>
        </is>
      </c>
      <c r="B36" s="20" t="n">
        <v>88994410.28</v>
      </c>
      <c r="C36" s="20" t="n">
        <v>97932867.15000001</v>
      </c>
      <c r="D36" s="20" t="n">
        <v>99238638.72</v>
      </c>
      <c r="E36" s="20" t="n">
        <v>99238638.72</v>
      </c>
      <c r="F36" s="20" t="n">
        <v>88139580.44</v>
      </c>
      <c r="G36" s="20" t="n">
        <v>92709780.91</v>
      </c>
      <c r="H36" s="20" t="n">
        <v>142981986</v>
      </c>
      <c r="I36" s="20" t="n">
        <v>124048298.4</v>
      </c>
      <c r="J36" s="20" t="n">
        <v>120130983.7</v>
      </c>
      <c r="K36" s="20" t="n">
        <v>116866554.8</v>
      </c>
      <c r="L36" s="20" t="n">
        <v>99891524.5</v>
      </c>
      <c r="M36" s="20" t="n">
        <v>110990582.8</v>
      </c>
      <c r="N36" s="20">
        <f>SUM(B36:M36)</f>
        <v/>
      </c>
    </row>
    <row r="37">
      <c r="A37" s="19" t="inlineStr">
        <is>
          <t xml:space="preserve">                        후불 · EP 금융 매출</t>
        </is>
      </c>
      <c r="B37" s="20" t="n">
        <v>46171013.78</v>
      </c>
      <c r="C37" s="20" t="n">
        <v>44971766.67</v>
      </c>
      <c r="D37" s="20" t="n">
        <v>45571390.22</v>
      </c>
      <c r="E37" s="20" t="n">
        <v>45571390.22</v>
      </c>
      <c r="F37" s="20" t="n">
        <v>40474590</v>
      </c>
      <c r="G37" s="20" t="n">
        <v>42573272.44</v>
      </c>
      <c r="H37" s="20" t="n">
        <v>65658779.33</v>
      </c>
      <c r="I37" s="20" t="n">
        <v>56964237.78</v>
      </c>
      <c r="J37" s="20" t="n">
        <v>55165367.11</v>
      </c>
      <c r="K37" s="20" t="n">
        <v>53666308.22</v>
      </c>
      <c r="L37" s="20" t="n">
        <v>45871202</v>
      </c>
      <c r="M37" s="20" t="n">
        <v>50968002.22</v>
      </c>
      <c r="N37" s="20">
        <f>SUM(B37:M37)</f>
        <v/>
      </c>
    </row>
    <row r="38">
      <c r="A38" s="19" t="inlineStr">
        <is>
          <t xml:space="preserve">                  (2) 일반 금융</t>
        </is>
      </c>
      <c r="B38" s="20" t="n">
        <v>53441640.66</v>
      </c>
      <c r="C38" s="20" t="n">
        <v>58803546.09</v>
      </c>
      <c r="D38" s="20" t="n">
        <v>59587593.37</v>
      </c>
      <c r="E38" s="20" t="n">
        <v>59587593.37</v>
      </c>
      <c r="F38" s="20" t="n">
        <v>52923191.48</v>
      </c>
      <c r="G38" s="20" t="n">
        <v>55667356.97</v>
      </c>
      <c r="H38" s="20" t="n">
        <v>85853177.3</v>
      </c>
      <c r="I38" s="20" t="n">
        <v>74484491.72</v>
      </c>
      <c r="J38" s="20" t="n">
        <v>72132349.87</v>
      </c>
      <c r="K38" s="20" t="n">
        <v>70172231.67</v>
      </c>
      <c r="L38" s="20" t="n">
        <v>59979617.01</v>
      </c>
      <c r="M38" s="20" t="n">
        <v>66644018.91</v>
      </c>
      <c r="N38" s="20">
        <f>SUM(B38:M38)</f>
        <v/>
      </c>
    </row>
    <row r="39">
      <c r="A39" s="17" t="inlineStr">
        <is>
          <t xml:space="preserve">            2. 신규 소매금융</t>
        </is>
      </c>
      <c r="B39" s="18">
        <f>B40+B41</f>
        <v/>
      </c>
      <c r="C39" s="18">
        <f>C40+C41</f>
        <v/>
      </c>
      <c r="D39" s="18">
        <f>D40+D41</f>
        <v/>
      </c>
      <c r="E39" s="18">
        <f>E40+E41</f>
        <v/>
      </c>
      <c r="F39" s="18">
        <f>F40+F41</f>
        <v/>
      </c>
      <c r="G39" s="18">
        <f>G40+G41</f>
        <v/>
      </c>
      <c r="H39" s="18">
        <f>H40+H41</f>
        <v/>
      </c>
      <c r="I39" s="18">
        <f>I40+I41</f>
        <v/>
      </c>
      <c r="J39" s="18">
        <f>J40+J41</f>
        <v/>
      </c>
      <c r="K39" s="18">
        <f>K40+K41</f>
        <v/>
      </c>
      <c r="L39" s="18">
        <f>L40+L41</f>
        <v/>
      </c>
      <c r="M39" s="18">
        <f>M40+M41</f>
        <v/>
      </c>
      <c r="N39" s="18">
        <f>SUM(B39:M39)</f>
        <v/>
      </c>
    </row>
    <row r="40">
      <c r="A40" s="19" t="inlineStr">
        <is>
          <t xml:space="preserve">                  (1) 금융 플러스</t>
        </is>
      </c>
      <c r="B40" s="20" t="n">
        <v>0</v>
      </c>
      <c r="C40" s="20" t="n">
        <v>1000000</v>
      </c>
      <c r="D40" s="20" t="n">
        <v>3000000</v>
      </c>
      <c r="E40" s="20" t="n">
        <v>6000000</v>
      </c>
      <c r="F40" s="20" t="n">
        <v>10000000</v>
      </c>
      <c r="G40" s="20" t="n">
        <v>20000000</v>
      </c>
      <c r="H40" s="20" t="n">
        <v>41000000</v>
      </c>
      <c r="I40" s="20" t="n">
        <v>36000000</v>
      </c>
      <c r="J40" s="20" t="n">
        <v>33000000</v>
      </c>
      <c r="K40" s="20" t="n">
        <v>31000000</v>
      </c>
      <c r="L40" s="20" t="n">
        <v>26000000</v>
      </c>
      <c r="M40" s="20" t="n">
        <v>33000000</v>
      </c>
      <c r="N40" s="20">
        <f>SUM(B40:M40)</f>
        <v/>
      </c>
    </row>
    <row r="41">
      <c r="A41" s="19" t="inlineStr">
        <is>
          <t xml:space="preserve">                  (2) 엔카페이 2.0</t>
        </is>
      </c>
      <c r="B41" s="20" t="n">
        <v>0</v>
      </c>
      <c r="C41" s="20" t="n">
        <v>0</v>
      </c>
      <c r="D41" s="20" t="n">
        <v>0</v>
      </c>
      <c r="E41" s="20" t="n">
        <v>4800000</v>
      </c>
      <c r="F41" s="20" t="n">
        <v>6600000</v>
      </c>
      <c r="G41" s="20" t="n">
        <v>12000000</v>
      </c>
      <c r="H41" s="20" t="n">
        <v>24000000</v>
      </c>
      <c r="I41" s="20" t="n">
        <v>22800000</v>
      </c>
      <c r="J41" s="20" t="n">
        <v>20400000</v>
      </c>
      <c r="K41" s="20" t="n">
        <v>19800000</v>
      </c>
      <c r="L41" s="20" t="n">
        <v>13800000</v>
      </c>
      <c r="M41" s="20" t="n">
        <v>19800000</v>
      </c>
      <c r="N41" s="20">
        <f>SUM(B41:M41)</f>
        <v/>
      </c>
    </row>
    <row r="42">
      <c r="A42" s="5" t="inlineStr">
        <is>
          <t xml:space="preserve">      Ⅱ. 기타 매출 (금융 연계 광고)</t>
        </is>
      </c>
      <c r="B42" s="6">
        <f>B43+B44</f>
        <v/>
      </c>
      <c r="C42" s="6">
        <f>C43+C44</f>
        <v/>
      </c>
      <c r="D42" s="6">
        <f>D43+D44</f>
        <v/>
      </c>
      <c r="E42" s="6">
        <f>E43+E44</f>
        <v/>
      </c>
      <c r="F42" s="6">
        <f>F43+F44</f>
        <v/>
      </c>
      <c r="G42" s="6">
        <f>G43+G44</f>
        <v/>
      </c>
      <c r="H42" s="6">
        <f>H43+H44</f>
        <v/>
      </c>
      <c r="I42" s="6">
        <f>I43+I44</f>
        <v/>
      </c>
      <c r="J42" s="6">
        <f>J43+J44</f>
        <v/>
      </c>
      <c r="K42" s="6">
        <f>K43+K44</f>
        <v/>
      </c>
      <c r="L42" s="6">
        <f>L43+L44</f>
        <v/>
      </c>
      <c r="M42" s="6">
        <f>M43+M44</f>
        <v/>
      </c>
      <c r="N42" s="6">
        <f>SUM(B42:M42)</f>
        <v/>
      </c>
    </row>
    <row r="43">
      <c r="A43" s="21" t="inlineStr">
        <is>
          <t xml:space="preserve">            웰컴저축은행</t>
        </is>
      </c>
      <c r="B43" s="22" t="n">
        <v>27500000</v>
      </c>
      <c r="C43" s="22" t="n">
        <v>27500000</v>
      </c>
      <c r="D43" s="22" t="n">
        <v>27500000</v>
      </c>
      <c r="E43" s="22" t="n">
        <v>27500000</v>
      </c>
      <c r="F43" s="22" t="n">
        <v>30250000</v>
      </c>
      <c r="G43" s="22" t="n">
        <v>30250000</v>
      </c>
      <c r="H43" s="22" t="n">
        <v>30250000</v>
      </c>
      <c r="I43" s="22" t="n">
        <v>30250000</v>
      </c>
      <c r="J43" s="22" t="n">
        <v>30250000</v>
      </c>
      <c r="K43" s="22" t="n">
        <v>30250000</v>
      </c>
      <c r="L43" s="22" t="n">
        <v>30250000</v>
      </c>
      <c r="M43" s="22" t="n">
        <v>30250000</v>
      </c>
      <c r="N43" s="22">
        <f>SUM(B43:M43)</f>
        <v/>
      </c>
    </row>
    <row r="44">
      <c r="A44" s="21" t="inlineStr">
        <is>
          <t xml:space="preserve">            IM캐피탈</t>
        </is>
      </c>
      <c r="B44" s="22" t="n">
        <v>40000000</v>
      </c>
      <c r="C44" s="22" t="n">
        <v>40000000</v>
      </c>
      <c r="D44" s="22" t="n">
        <v>40000000</v>
      </c>
      <c r="E44" s="22" t="n">
        <v>40000000</v>
      </c>
      <c r="F44" s="22" t="n">
        <v>40000000</v>
      </c>
      <c r="G44" s="22" t="n">
        <v>40000000</v>
      </c>
      <c r="H44" s="22" t="n">
        <v>40000000</v>
      </c>
      <c r="I44" s="22" t="n">
        <v>40000000</v>
      </c>
      <c r="J44" s="22" t="n">
        <v>40000000</v>
      </c>
      <c r="K44" s="22" t="n">
        <v>40000000</v>
      </c>
      <c r="L44" s="22" t="n">
        <v>40000000</v>
      </c>
      <c r="M44" s="22" t="n">
        <v>40000000</v>
      </c>
      <c r="N44" s="22">
        <f>SUM(B44:M44)</f>
        <v/>
      </c>
    </row>
    <row r="45">
      <c r="A45" s="14" t="inlineStr">
        <is>
          <t xml:space="preserve">  [실적]</t>
        </is>
      </c>
    </row>
    <row r="46">
      <c r="A46" s="15" t="inlineStr">
        <is>
          <t>총 사업 매출</t>
        </is>
      </c>
      <c r="B46" s="16">
        <f>B47+B56</f>
        <v/>
      </c>
      <c r="C46" s="16">
        <f>C47+C56</f>
        <v/>
      </c>
      <c r="D46" s="16">
        <f>D47+D56</f>
        <v/>
      </c>
      <c r="E46" s="16">
        <f>E47+E56</f>
        <v/>
      </c>
      <c r="F46" s="16">
        <f>F47+F56</f>
        <v/>
      </c>
      <c r="G46" s="16">
        <f>G47+G56</f>
        <v/>
      </c>
      <c r="H46" s="16">
        <f>H47+H56</f>
        <v/>
      </c>
      <c r="I46" s="16">
        <f>I47+I56</f>
        <v/>
      </c>
      <c r="J46" s="16">
        <f>J47+J56</f>
        <v/>
      </c>
      <c r="K46" s="16">
        <f>K47+K56</f>
        <v/>
      </c>
      <c r="L46" s="16">
        <f>L47+L56</f>
        <v/>
      </c>
      <c r="M46" s="16">
        <f>M47+M56</f>
        <v/>
      </c>
      <c r="N46" s="16">
        <f>SUM(B46:M46)</f>
        <v/>
      </c>
    </row>
    <row r="47">
      <c r="A47" s="5" t="inlineStr">
        <is>
          <t xml:space="preserve">      Ⅰ. 금융 매출</t>
        </is>
      </c>
      <c r="B47" s="6">
        <f>B48+B53</f>
        <v/>
      </c>
      <c r="C47" s="6">
        <f>C48+C53</f>
        <v/>
      </c>
      <c r="D47" s="6">
        <f>D48+D53</f>
        <v/>
      </c>
      <c r="E47" s="6">
        <f>E48+E53</f>
        <v/>
      </c>
      <c r="F47" s="6">
        <f>F48+F53</f>
        <v/>
      </c>
      <c r="G47" s="6">
        <f>G48+G53</f>
        <v/>
      </c>
      <c r="H47" s="6">
        <f>H48+H53</f>
        <v/>
      </c>
      <c r="I47" s="6">
        <f>I48+I53</f>
        <v/>
      </c>
      <c r="J47" s="6">
        <f>J48+J53</f>
        <v/>
      </c>
      <c r="K47" s="6">
        <f>K48+K53</f>
        <v/>
      </c>
      <c r="L47" s="6">
        <f>L48+L53</f>
        <v/>
      </c>
      <c r="M47" s="6">
        <f>M48+M53</f>
        <v/>
      </c>
      <c r="N47" s="6">
        <f>SUM(B47:M47)</f>
        <v/>
      </c>
    </row>
    <row r="48">
      <c r="A48" s="17" t="inlineStr">
        <is>
          <t xml:space="preserve">            1. 기존 소매금융</t>
        </is>
      </c>
      <c r="B48" s="18">
        <f>B49+B52</f>
        <v/>
      </c>
      <c r="C48" s="18">
        <f>C49+C52</f>
        <v/>
      </c>
      <c r="D48" s="18">
        <f>D49+D52</f>
        <v/>
      </c>
      <c r="E48" s="18">
        <f>E49+E52</f>
        <v/>
      </c>
      <c r="F48" s="18">
        <f>F49+F52</f>
        <v/>
      </c>
      <c r="G48" s="18">
        <f>G49+G52</f>
        <v/>
      </c>
      <c r="H48" s="18">
        <f>H49+H52</f>
        <v/>
      </c>
      <c r="I48" s="18">
        <f>I49+I52</f>
        <v/>
      </c>
      <c r="J48" s="18">
        <f>J49+J52</f>
        <v/>
      </c>
      <c r="K48" s="18">
        <f>K49+K52</f>
        <v/>
      </c>
      <c r="L48" s="18">
        <f>L49+L52</f>
        <v/>
      </c>
      <c r="M48" s="18">
        <f>M49+M52</f>
        <v/>
      </c>
      <c r="N48" s="18">
        <f>SUM(B48:M48)</f>
        <v/>
      </c>
    </row>
    <row r="49">
      <c r="A49" s="24" t="inlineStr">
        <is>
          <t xml:space="preserve">                  (1) H/S 금융</t>
        </is>
      </c>
      <c r="B49" s="25">
        <f>B50+B51</f>
        <v/>
      </c>
      <c r="C49" s="25">
        <f>C50+C51</f>
        <v/>
      </c>
      <c r="D49" s="25">
        <f>D50+D51</f>
        <v/>
      </c>
      <c r="E49" s="25">
        <f>E50+E51</f>
        <v/>
      </c>
      <c r="F49" s="25">
        <f>F50+F51</f>
        <v/>
      </c>
      <c r="G49" s="25">
        <f>G50+G51</f>
        <v/>
      </c>
      <c r="H49" s="25">
        <f>H50+H51</f>
        <v/>
      </c>
      <c r="I49" s="25">
        <f>I50+I51</f>
        <v/>
      </c>
      <c r="J49" s="25">
        <f>J50+J51</f>
        <v/>
      </c>
      <c r="K49" s="25">
        <f>K50+K51</f>
        <v/>
      </c>
      <c r="L49" s="25">
        <f>L50+L51</f>
        <v/>
      </c>
      <c r="M49" s="25">
        <f>M50+M51</f>
        <v/>
      </c>
      <c r="N49" s="25">
        <f>SUM(B49:M49)</f>
        <v/>
      </c>
    </row>
    <row r="50">
      <c r="A50" s="19" t="inlineStr">
        <is>
          <t xml:space="preserve">                        선불 · 일반금융 매출</t>
        </is>
      </c>
      <c r="B50" s="23" t="n">
        <v>85565900</v>
      </c>
      <c r="C50" s="23" t="n">
        <v>80486300</v>
      </c>
      <c r="D50" s="23" t="n">
        <v>114664800</v>
      </c>
      <c r="E50" s="23" t="n">
        <v>133743400</v>
      </c>
      <c r="F50" s="23" t="n">
        <v>140826000</v>
      </c>
      <c r="G50" s="23" t="n">
        <v>133743400</v>
      </c>
      <c r="H50" s="23" t="n"/>
      <c r="I50" s="23" t="n"/>
      <c r="J50" s="23" t="n"/>
      <c r="K50" s="23" t="n"/>
      <c r="L50" s="23" t="n"/>
      <c r="M50" s="23" t="n"/>
      <c r="N50" s="23">
        <f>SUM(B50:M50)</f>
        <v/>
      </c>
    </row>
    <row r="51">
      <c r="A51" s="19" t="inlineStr">
        <is>
          <t xml:space="preserve">                        후불 · EP 금융 매출</t>
        </is>
      </c>
      <c r="B51" s="23" t="n">
        <v>65899700</v>
      </c>
      <c r="C51" s="23" t="n">
        <v>49066100</v>
      </c>
      <c r="D51" s="23" t="n">
        <v>47554700</v>
      </c>
      <c r="E51" s="23" t="n">
        <v>57291200</v>
      </c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>
        <f>SUM(B51:M51)</f>
        <v/>
      </c>
    </row>
    <row r="52">
      <c r="A52" s="19" t="inlineStr">
        <is>
          <t xml:space="preserve">                  (2) 일반 금융</t>
        </is>
      </c>
      <c r="B52" s="23" t="n">
        <v>51478200</v>
      </c>
      <c r="C52" s="23" t="n">
        <v>49756500</v>
      </c>
      <c r="D52" s="23" t="n">
        <v>79956100</v>
      </c>
      <c r="E52" s="23" t="n">
        <v>68997300</v>
      </c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>
        <f>SUM(B52:M52)</f>
        <v/>
      </c>
    </row>
    <row r="53">
      <c r="A53" s="17" t="inlineStr">
        <is>
          <t xml:space="preserve">            2. 신규 소매금융</t>
        </is>
      </c>
      <c r="B53" s="18">
        <f>B54+B55</f>
        <v/>
      </c>
      <c r="C53" s="18">
        <f>C54+C55</f>
        <v/>
      </c>
      <c r="D53" s="18">
        <f>D54+D55</f>
        <v/>
      </c>
      <c r="E53" s="18">
        <f>E54+E55</f>
        <v/>
      </c>
      <c r="F53" s="18">
        <f>F54+F55</f>
        <v/>
      </c>
      <c r="G53" s="18">
        <f>G54+G55</f>
        <v/>
      </c>
      <c r="H53" s="18">
        <f>H54+H55</f>
        <v/>
      </c>
      <c r="I53" s="18">
        <f>I54+I55</f>
        <v/>
      </c>
      <c r="J53" s="18">
        <f>J54+J55</f>
        <v/>
      </c>
      <c r="K53" s="18">
        <f>K54+K55</f>
        <v/>
      </c>
      <c r="L53" s="18">
        <f>L54+L55</f>
        <v/>
      </c>
      <c r="M53" s="18">
        <f>M54+M55</f>
        <v/>
      </c>
      <c r="N53" s="18">
        <f>SUM(B53:M53)</f>
        <v/>
      </c>
    </row>
    <row r="54">
      <c r="A54" s="19" t="inlineStr">
        <is>
          <t xml:space="preserve">                  (1) 금융 플러스</t>
        </is>
      </c>
      <c r="B54" s="23" t="n">
        <v>1992000</v>
      </c>
      <c r="C54" s="23" t="n">
        <v>231000</v>
      </c>
      <c r="D54" s="23" t="n">
        <v>264000</v>
      </c>
      <c r="E54" s="23" t="n">
        <v>270000</v>
      </c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>
        <f>SUM(B54:M54)</f>
        <v/>
      </c>
    </row>
    <row r="55">
      <c r="A55" s="19" t="inlineStr">
        <is>
          <t xml:space="preserve">                  (2) 엔카페이 2.0</t>
        </is>
      </c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>
        <f>SUM(B55:M55)</f>
        <v/>
      </c>
    </row>
    <row r="56">
      <c r="A56" s="5" t="inlineStr">
        <is>
          <t xml:space="preserve">      Ⅱ. 기타 매출 (금융 연계 광고)</t>
        </is>
      </c>
      <c r="B56" s="6">
        <f>B57+B58</f>
        <v/>
      </c>
      <c r="C56" s="6">
        <f>C57+C58</f>
        <v/>
      </c>
      <c r="D56" s="6">
        <f>D57+D58</f>
        <v/>
      </c>
      <c r="E56" s="6">
        <f>E57+E58</f>
        <v/>
      </c>
      <c r="F56" s="6">
        <f>F57+F58</f>
        <v/>
      </c>
      <c r="G56" s="6">
        <f>G57+G58</f>
        <v/>
      </c>
      <c r="H56" s="6">
        <f>H57+H58</f>
        <v/>
      </c>
      <c r="I56" s="6">
        <f>I57+I58</f>
        <v/>
      </c>
      <c r="J56" s="6">
        <f>J57+J58</f>
        <v/>
      </c>
      <c r="K56" s="6">
        <f>K57+K58</f>
        <v/>
      </c>
      <c r="L56" s="6">
        <f>L57+L58</f>
        <v/>
      </c>
      <c r="M56" s="6">
        <f>M57+M58</f>
        <v/>
      </c>
      <c r="N56" s="6">
        <f>SUM(B56:M56)</f>
        <v/>
      </c>
    </row>
    <row r="57">
      <c r="A57" s="21" t="inlineStr">
        <is>
          <t xml:space="preserve">            웰컴저축은행</t>
        </is>
      </c>
      <c r="B57" s="23" t="n">
        <v>27500000</v>
      </c>
      <c r="C57" s="23" t="n">
        <v>27500000</v>
      </c>
      <c r="D57" s="23" t="n">
        <v>27500000</v>
      </c>
      <c r="E57" s="23" t="n">
        <v>27500000</v>
      </c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>
        <f>SUM(B57:M57)</f>
        <v/>
      </c>
    </row>
    <row r="58">
      <c r="A58" s="21" t="inlineStr">
        <is>
          <t xml:space="preserve">            IM캐피탈</t>
        </is>
      </c>
      <c r="B58" s="23" t="n">
        <v>40000000</v>
      </c>
      <c r="C58" s="23" t="n">
        <v>40000000</v>
      </c>
      <c r="D58" s="23" t="n">
        <v>40000000</v>
      </c>
      <c r="E58" s="23" t="n">
        <v>40000000</v>
      </c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>
        <f>SUM(B58:M58)</f>
        <v/>
      </c>
    </row>
    <row r="59">
      <c r="A59" s="9" t="inlineStr">
        <is>
          <t>매출 달성률 (총)</t>
        </is>
      </c>
      <c r="B59" s="10">
        <f>IF(B46=0,"",IFERROR(B46/B32,""))</f>
        <v/>
      </c>
      <c r="C59" s="10">
        <f>IF(C46=0,"",IFERROR(C46/C32,""))</f>
        <v/>
      </c>
      <c r="D59" s="10">
        <f>IF(D46=0,"",IFERROR(D46/D32,""))</f>
        <v/>
      </c>
      <c r="E59" s="10">
        <f>IF(E46=0,"",IFERROR(E46/E32,""))</f>
        <v/>
      </c>
      <c r="F59" s="10">
        <f>IF(F46=0,"",IFERROR(F46/F32,""))</f>
        <v/>
      </c>
      <c r="G59" s="10">
        <f>IF(G46=0,"",IFERROR(G46/G32,""))</f>
        <v/>
      </c>
      <c r="H59" s="10">
        <f>IF(H46=0,"",IFERROR(H46/H32,""))</f>
        <v/>
      </c>
      <c r="I59" s="10">
        <f>IF(I46=0,"",IFERROR(I46/I32,""))</f>
        <v/>
      </c>
      <c r="J59" s="10">
        <f>IF(J46=0,"",IFERROR(J46/J32,""))</f>
        <v/>
      </c>
      <c r="K59" s="10">
        <f>IF(K46=0,"",IFERROR(K46/K32,""))</f>
        <v/>
      </c>
      <c r="L59" s="10">
        <f>IF(L46=0,"",IFERROR(L46/L32,""))</f>
        <v/>
      </c>
      <c r="M59" s="10">
        <f>IF(M46=0,"",IFERROR(M46/M32,""))</f>
        <v/>
      </c>
      <c r="N59" s="11">
        <f>IF(N46=0,"",IFERROR(N46/N32,""))</f>
        <v/>
      </c>
    </row>
    <row r="60">
      <c r="A60" s="9" t="inlineStr">
        <is>
          <t xml:space="preserve">        └ 금융 매출</t>
        </is>
      </c>
      <c r="B60" s="10">
        <f>IF(B47=0,"",IFERROR(B47/B33,""))</f>
        <v/>
      </c>
      <c r="C60" s="10">
        <f>IF(C47=0,"",IFERROR(C47/C33,""))</f>
        <v/>
      </c>
      <c r="D60" s="10">
        <f>IF(D47=0,"",IFERROR(D47/D33,""))</f>
        <v/>
      </c>
      <c r="E60" s="10">
        <f>IF(E47=0,"",IFERROR(E47/E33,""))</f>
        <v/>
      </c>
      <c r="F60" s="10">
        <f>IF(F47=0,"",IFERROR(F47/F33,""))</f>
        <v/>
      </c>
      <c r="G60" s="10">
        <f>IF(G47=0,"",IFERROR(G47/G33,""))</f>
        <v/>
      </c>
      <c r="H60" s="10">
        <f>IF(H47=0,"",IFERROR(H47/H33,""))</f>
        <v/>
      </c>
      <c r="I60" s="10">
        <f>IF(I47=0,"",IFERROR(I47/I33,""))</f>
        <v/>
      </c>
      <c r="J60" s="10">
        <f>IF(J47=0,"",IFERROR(J47/J33,""))</f>
        <v/>
      </c>
      <c r="K60" s="10">
        <f>IF(K47=0,"",IFERROR(K47/K33,""))</f>
        <v/>
      </c>
      <c r="L60" s="10">
        <f>IF(L47=0,"",IFERROR(L47/L33,""))</f>
        <v/>
      </c>
      <c r="M60" s="10">
        <f>IF(M47=0,"",IFERROR(M47/M33,""))</f>
        <v/>
      </c>
      <c r="N60" s="11">
        <f>IF(N47=0,"",IFERROR(N47/N33,""))</f>
        <v/>
      </c>
    </row>
    <row r="61">
      <c r="A61" s="9" t="inlineStr">
        <is>
          <t xml:space="preserve">        └ 기타 광고</t>
        </is>
      </c>
      <c r="B61" s="10">
        <f>IF(B56=0,"",IFERROR(B56/B42,""))</f>
        <v/>
      </c>
      <c r="C61" s="10">
        <f>IF(C56=0,"",IFERROR(C56/C42,""))</f>
        <v/>
      </c>
      <c r="D61" s="10">
        <f>IF(D56=0,"",IFERROR(D56/D42,""))</f>
        <v/>
      </c>
      <c r="E61" s="10">
        <f>IF(E56=0,"",IFERROR(E56/E42,""))</f>
        <v/>
      </c>
      <c r="F61" s="10">
        <f>IF(F56=0,"",IFERROR(F56/F42,""))</f>
        <v/>
      </c>
      <c r="G61" s="10">
        <f>IF(G56=0,"",IFERROR(G56/G42,""))</f>
        <v/>
      </c>
      <c r="H61" s="10">
        <f>IF(H56=0,"",IFERROR(H56/H42,""))</f>
        <v/>
      </c>
      <c r="I61" s="10">
        <f>IF(I56=0,"",IFERROR(I56/I42,""))</f>
        <v/>
      </c>
      <c r="J61" s="10">
        <f>IF(J56=0,"",IFERROR(J56/J42,""))</f>
        <v/>
      </c>
      <c r="K61" s="10">
        <f>IF(K56=0,"",IFERROR(K56/K42,""))</f>
        <v/>
      </c>
      <c r="L61" s="10">
        <f>IF(L56=0,"",IFERROR(L56/L42,""))</f>
        <v/>
      </c>
      <c r="M61" s="10">
        <f>IF(M56=0,"",IFERROR(M56/M42,""))</f>
        <v/>
      </c>
      <c r="N61" s="11">
        <f>IF(N56=0,"",IFERROR(N56/N42,""))</f>
        <v/>
      </c>
    </row>
    <row r="63">
      <c r="A63" s="4" t="inlineStr">
        <is>
          <t>Ⅲ. 여신 실행건수 (실적)</t>
        </is>
      </c>
    </row>
    <row r="64">
      <c r="A64" s="15" t="inlineStr">
        <is>
          <t>총 여신건수</t>
        </is>
      </c>
      <c r="B64" s="16">
        <f>B65</f>
        <v/>
      </c>
      <c r="C64" s="16">
        <f>C65</f>
        <v/>
      </c>
      <c r="D64" s="16">
        <f>D65</f>
        <v/>
      </c>
      <c r="E64" s="16">
        <f>E65</f>
        <v/>
      </c>
      <c r="F64" s="16">
        <f>F65</f>
        <v/>
      </c>
      <c r="G64" s="16">
        <f>G65</f>
        <v/>
      </c>
      <c r="H64" s="16">
        <f>H65</f>
        <v/>
      </c>
      <c r="I64" s="16">
        <f>I65</f>
        <v/>
      </c>
      <c r="J64" s="16">
        <f>J65</f>
        <v/>
      </c>
      <c r="K64" s="16">
        <f>K65</f>
        <v/>
      </c>
      <c r="L64" s="16">
        <f>L65</f>
        <v/>
      </c>
      <c r="M64" s="16">
        <f>M65</f>
        <v/>
      </c>
      <c r="N64" s="16">
        <f>SUM(B64:M64)</f>
        <v/>
      </c>
    </row>
    <row r="65">
      <c r="A65" s="5" t="inlineStr">
        <is>
          <t xml:space="preserve">      1. 기존 소매금융</t>
        </is>
      </c>
      <c r="B65" s="6">
        <f>B66+B69</f>
        <v/>
      </c>
      <c r="C65" s="6">
        <f>C66+C69</f>
        <v/>
      </c>
      <c r="D65" s="6">
        <f>D66+D69</f>
        <v/>
      </c>
      <c r="E65" s="6">
        <f>E66+E69</f>
        <v/>
      </c>
      <c r="F65" s="6">
        <f>F66+F69</f>
        <v/>
      </c>
      <c r="G65" s="6">
        <f>G66+G69</f>
        <v/>
      </c>
      <c r="H65" s="6">
        <f>H66+H69</f>
        <v/>
      </c>
      <c r="I65" s="6">
        <f>I66+I69</f>
        <v/>
      </c>
      <c r="J65" s="6">
        <f>J66+J69</f>
        <v/>
      </c>
      <c r="K65" s="6">
        <f>K66+K69</f>
        <v/>
      </c>
      <c r="L65" s="6">
        <f>L66+L69</f>
        <v/>
      </c>
      <c r="M65" s="6">
        <f>M66+M69</f>
        <v/>
      </c>
      <c r="N65" s="6">
        <f>SUM(B65:M65)</f>
        <v/>
      </c>
    </row>
    <row r="66">
      <c r="A66" s="17" t="inlineStr">
        <is>
          <t xml:space="preserve">            (1) H/S 금융</t>
        </is>
      </c>
      <c r="B66" s="18">
        <f>B67+B68</f>
        <v/>
      </c>
      <c r="C66" s="18">
        <f>C67+C68</f>
        <v/>
      </c>
      <c r="D66" s="18">
        <f>D67+D68</f>
        <v/>
      </c>
      <c r="E66" s="18">
        <f>E67+E68</f>
        <v/>
      </c>
      <c r="F66" s="18">
        <f>F67+F68</f>
        <v/>
      </c>
      <c r="G66" s="18">
        <f>G67+G68</f>
        <v/>
      </c>
      <c r="H66" s="18">
        <f>H67+H68</f>
        <v/>
      </c>
      <c r="I66" s="18">
        <f>I67+I68</f>
        <v/>
      </c>
      <c r="J66" s="18">
        <f>J67+J68</f>
        <v/>
      </c>
      <c r="K66" s="18">
        <f>K67+K68</f>
        <v/>
      </c>
      <c r="L66" s="18">
        <f>L67+L68</f>
        <v/>
      </c>
      <c r="M66" s="18">
        <f>M67+M68</f>
        <v/>
      </c>
      <c r="N66" s="18">
        <f>SUM(B66:M66)</f>
        <v/>
      </c>
    </row>
    <row r="67">
      <c r="A67" s="19" t="inlineStr">
        <is>
          <t xml:space="preserve">                  선불 · 일반금융 건수</t>
        </is>
      </c>
      <c r="B67" s="23" t="n">
        <v>534</v>
      </c>
      <c r="C67" s="23" t="n">
        <v>448</v>
      </c>
      <c r="D67" s="23" t="n">
        <v>554</v>
      </c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>
        <f>SUM(B67:M67)</f>
        <v/>
      </c>
    </row>
    <row r="68">
      <c r="A68" s="19" t="inlineStr">
        <is>
          <t xml:space="preserve">                  후불 · EP 금융 건수</t>
        </is>
      </c>
      <c r="B68" s="23" t="n">
        <v>234</v>
      </c>
      <c r="C68" s="23" t="n">
        <v>196</v>
      </c>
      <c r="D68" s="23" t="n">
        <v>179</v>
      </c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>
        <f>SUM(B68:M68)</f>
        <v/>
      </c>
    </row>
    <row r="69">
      <c r="A69" s="21" t="inlineStr">
        <is>
          <t xml:space="preserve">            (2) 일반 금융</t>
        </is>
      </c>
      <c r="B69" s="23" t="n">
        <v>223</v>
      </c>
      <c r="C69" s="23" t="n">
        <v>190</v>
      </c>
      <c r="D69" s="23" t="n">
        <v>235</v>
      </c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>
        <f>SUM(B69:M69)</f>
        <v/>
      </c>
    </row>
    <row r="71">
      <c r="A71" s="4" t="inlineStr">
        <is>
          <t>Ⅳ. Action Item / KPI (목표)</t>
        </is>
      </c>
    </row>
    <row r="72">
      <c r="A72" s="19" t="inlineStr">
        <is>
          <t xml:space="preserve">   [KPI] 한도조회→상담 전환율 (▲150건)</t>
        </is>
      </c>
      <c r="B72" s="26" t="inlineStr">
        <is>
          <t>3,000건 → 목표 +150</t>
        </is>
      </c>
    </row>
    <row r="73">
      <c r="A73" s="19" t="inlineStr">
        <is>
          <t xml:space="preserve">   [KPI] 후불 내 EP 잔존율 (▲5%)</t>
        </is>
      </c>
      <c r="B73" s="26" t="inlineStr">
        <is>
          <t>목표 +5%p</t>
        </is>
      </c>
    </row>
    <row r="74">
      <c r="A74" s="19" t="inlineStr">
        <is>
          <t xml:space="preserve">   [KPI] 선불 내 현금+금융 비중 (▲3%)</t>
        </is>
      </c>
      <c r="B74" s="26" t="inlineStr">
        <is>
          <t>목표 +3%p</t>
        </is>
      </c>
    </row>
    <row r="75">
      <c r="A75" s="19" t="inlineStr">
        <is>
          <t xml:space="preserve">   [KPI] 신청→실행 전환율 (▲2%)</t>
        </is>
      </c>
      <c r="B75" s="26" t="inlineStr">
        <is>
          <t>목표 +2%p</t>
        </is>
      </c>
    </row>
    <row r="76">
      <c r="A76" s="19" t="inlineStr">
        <is>
          <t xml:space="preserve">   [KPI] G/T 통한 월상담 신청 건수 (▲5%)</t>
        </is>
      </c>
      <c r="B76" s="26" t="inlineStr">
        <is>
          <t>5,000건 → +250</t>
        </is>
      </c>
    </row>
    <row r="77">
      <c r="A77" s="19" t="inlineStr">
        <is>
          <t xml:space="preserve">   [KPI] 일반금융조회→신청 전환율 (▲5%)</t>
        </is>
      </c>
      <c r="B77" s="26" t="inlineStr">
        <is>
          <t>70% → +5%p</t>
        </is>
      </c>
    </row>
    <row r="78">
      <c r="A78" s="19" t="inlineStr">
        <is>
          <t xml:space="preserve">   [KPI] 활성화 제휴 딜러수</t>
        </is>
      </c>
      <c r="B78" s="26" t="inlineStr">
        <is>
          <t>목표 200명</t>
        </is>
      </c>
    </row>
    <row r="79">
      <c r="A79" s="19" t="inlineStr">
        <is>
          <t xml:space="preserve">   [KPI] VIP 딜러(월13건↑) 수</t>
        </is>
      </c>
      <c r="B79" s="26" t="inlineStr">
        <is>
          <t>목표 10명</t>
        </is>
      </c>
    </row>
    <row r="80">
      <c r="A80" s="19" t="inlineStr">
        <is>
          <t xml:space="preserve">   [KPI] 금융플러스 실행 전환율 (▲5%)</t>
        </is>
      </c>
      <c r="B80" s="26" t="inlineStr">
        <is>
          <t>1.5% → 5%</t>
        </is>
      </c>
    </row>
    <row r="81">
      <c r="A81" s="19" t="inlineStr">
        <is>
          <t xml:space="preserve">   [KPI] 엔카페이2.0 제휴 금융사 수</t>
        </is>
      </c>
      <c r="B81" s="26" t="inlineStr">
        <is>
          <t>목표 3개</t>
        </is>
      </c>
    </row>
    <row r="82">
      <c r="A82" s="19" t="inlineStr">
        <is>
          <t xml:space="preserve">   [KPI] 엔카페이2.0 실행 전환율 (▲5%)</t>
        </is>
      </c>
      <c r="B82" s="26" t="inlineStr">
        <is>
          <t>50% → 55%</t>
        </is>
      </c>
    </row>
    <row r="83">
      <c r="A83" s="19" t="inlineStr">
        <is>
          <t xml:space="preserve">   [KPI] 고객 상담 만족도</t>
        </is>
      </c>
      <c r="B83" s="26" t="inlineStr">
        <is>
          <t>목표 80%</t>
        </is>
      </c>
    </row>
  </sheetData>
  <mergeCells count="23">
    <mergeCell ref="A31:N31"/>
    <mergeCell ref="A30:N30"/>
    <mergeCell ref="B83:N83"/>
    <mergeCell ref="B74:N74"/>
    <mergeCell ref="A45:N45"/>
    <mergeCell ref="B80:N80"/>
    <mergeCell ref="A1:N1"/>
    <mergeCell ref="B76:N76"/>
    <mergeCell ref="A6:N6"/>
    <mergeCell ref="B79:N79"/>
    <mergeCell ref="A16:N16"/>
    <mergeCell ref="B75:N75"/>
    <mergeCell ref="B72:N72"/>
    <mergeCell ref="B81:N81"/>
    <mergeCell ref="A2:N2"/>
    <mergeCell ref="A71:N71"/>
    <mergeCell ref="B77:N77"/>
    <mergeCell ref="A5:N5"/>
    <mergeCell ref="A4:N4"/>
    <mergeCell ref="B73:N73"/>
    <mergeCell ref="B82:N82"/>
    <mergeCell ref="A63:N63"/>
    <mergeCell ref="B78:N7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보증 사업계획 (역년 환산)</t>
        </is>
      </c>
    </row>
    <row r="2">
      <c r="A2" s="2" t="inlineStr">
        <is>
          <t>단위: 원 ｜ 메인지표=매출(결제액 기준) ｜ 보증 회계연도(FY)→역년2026 환산 ｜ 매출=가입+광고+정비 ｜ 노란칸=실적 입력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OKR ▷ KR1 EW 커버리지확장 월평균매출 4.5억 / KR2 정비 월평균매출 0.5억 / KR3 스케일업 기반</t>
        </is>
      </c>
    </row>
    <row r="5">
      <c r="A5" s="4" t="inlineStr">
        <is>
          <t>Ⅰ. 사업 매출 (메인, 결제액 기준 = 가입+광고+정비)</t>
        </is>
      </c>
    </row>
    <row r="6">
      <c r="A6" s="14" t="inlineStr">
        <is>
          <t xml:space="preserve">  [계획]</t>
        </is>
      </c>
    </row>
    <row r="7">
      <c r="A7" s="15" t="inlineStr">
        <is>
          <t>사업 매출 (거래액 총계)</t>
        </is>
      </c>
      <c r="B7" s="16">
        <f>B8+B13+B14+B15+B16</f>
        <v/>
      </c>
      <c r="C7" s="16">
        <f>C8+C13+C14+C15+C16</f>
        <v/>
      </c>
      <c r="D7" s="16">
        <f>D8+D13+D14+D15+D16</f>
        <v/>
      </c>
      <c r="E7" s="16">
        <f>E8+E13+E14+E15+E16</f>
        <v/>
      </c>
      <c r="F7" s="16">
        <f>F8+F13+F14+F15+F16</f>
        <v/>
      </c>
      <c r="G7" s="16">
        <f>G8+G13+G14+G15+G16</f>
        <v/>
      </c>
      <c r="H7" s="16">
        <f>H8+H13+H14+H15+H16</f>
        <v/>
      </c>
      <c r="I7" s="16">
        <f>I8+I13+I14+I15+I16</f>
        <v/>
      </c>
      <c r="J7" s="16">
        <f>J8+J13+J14+J15+J16</f>
        <v/>
      </c>
      <c r="K7" s="16">
        <f>K8+K13+K14+K15+K16</f>
        <v/>
      </c>
      <c r="L7" s="16">
        <f>L8+L13+L14+L15+L16</f>
        <v/>
      </c>
      <c r="M7" s="16">
        <f>M8+M13+M14+M15+M16</f>
        <v/>
      </c>
      <c r="N7" s="16">
        <f>SUM(B7:M7)</f>
        <v/>
      </c>
    </row>
    <row r="8">
      <c r="A8" s="5" t="inlineStr">
        <is>
          <t xml:space="preserve">      총 가입 거래액</t>
        </is>
      </c>
      <c r="B8" s="6">
        <f>B9+B10+B11+B12</f>
        <v/>
      </c>
      <c r="C8" s="6">
        <f>C9+C10+C11+C12</f>
        <v/>
      </c>
      <c r="D8" s="6">
        <f>D9+D10+D11+D12</f>
        <v/>
      </c>
      <c r="E8" s="6">
        <f>E9+E10+E11+E12</f>
        <v/>
      </c>
      <c r="F8" s="6">
        <f>F9+F10+F11+F12</f>
        <v/>
      </c>
      <c r="G8" s="6">
        <f>G9+G10+G11+G12</f>
        <v/>
      </c>
      <c r="H8" s="6">
        <f>H9+H10+H11+H12</f>
        <v/>
      </c>
      <c r="I8" s="6">
        <f>I9+I10+I11+I12</f>
        <v/>
      </c>
      <c r="J8" s="6">
        <f>J9+J10+J11+J12</f>
        <v/>
      </c>
      <c r="K8" s="6">
        <f>K9+K10+K11+K12</f>
        <v/>
      </c>
      <c r="L8" s="6">
        <f>L9+L10+L11+L12</f>
        <v/>
      </c>
      <c r="M8" s="6">
        <f>M9+M10+M11+M12</f>
        <v/>
      </c>
      <c r="N8" s="6">
        <f>SUM(B8:M8)</f>
        <v/>
      </c>
    </row>
    <row r="9">
      <c r="A9" s="21" t="inlineStr">
        <is>
          <t xml:space="preserve">            국산 홈서비스 가입</t>
        </is>
      </c>
      <c r="B9" s="22" t="n">
        <v>259116162.9</v>
      </c>
      <c r="C9" s="22" t="n">
        <v>225109047.4</v>
      </c>
      <c r="D9" s="22" t="n">
        <v>300195554.5</v>
      </c>
      <c r="E9" s="22" t="n">
        <v>337663571.1</v>
      </c>
      <c r="F9" s="22" t="n">
        <v>291618538.7</v>
      </c>
      <c r="G9" s="22" t="n">
        <v>359512390.4</v>
      </c>
      <c r="H9" s="22" t="n">
        <v>386236566.1</v>
      </c>
      <c r="I9" s="22" t="n">
        <v>390028509.9</v>
      </c>
      <c r="J9" s="22" t="n">
        <v>361137509.2</v>
      </c>
      <c r="K9" s="22" t="n">
        <v>343080633.8</v>
      </c>
      <c r="L9" s="22" t="n">
        <v>341274946.2</v>
      </c>
      <c r="M9" s="22" t="n">
        <v>337663571.1</v>
      </c>
      <c r="N9" s="22">
        <f>SUM(B9:M9)</f>
        <v/>
      </c>
    </row>
    <row r="10">
      <c r="A10" s="21" t="inlineStr">
        <is>
          <t xml:space="preserve">            딜러 가입</t>
        </is>
      </c>
      <c r="B10" s="22" t="n">
        <v>7773484.886</v>
      </c>
      <c r="C10" s="22" t="n">
        <v>6753271.422</v>
      </c>
      <c r="D10" s="22" t="n">
        <v>9005866.636</v>
      </c>
      <c r="E10" s="22" t="n">
        <v>10129907.13</v>
      </c>
      <c r="F10" s="22" t="n">
        <v>8748556.161</v>
      </c>
      <c r="G10" s="22" t="n">
        <v>10785371.71</v>
      </c>
      <c r="H10" s="22" t="n">
        <v>11587096.98</v>
      </c>
      <c r="I10" s="22" t="n">
        <v>11700855.3</v>
      </c>
      <c r="J10" s="22" t="n">
        <v>10834125.28</v>
      </c>
      <c r="K10" s="22" t="n">
        <v>10292419.01</v>
      </c>
      <c r="L10" s="22" t="n">
        <v>10238248.39</v>
      </c>
      <c r="M10" s="22" t="n">
        <v>10129907.13</v>
      </c>
      <c r="N10" s="22">
        <f>SUM(B10:M10)</f>
        <v/>
      </c>
    </row>
    <row r="11">
      <c r="A11" s="21" t="inlineStr">
        <is>
          <t xml:space="preserve">            수입 홈서비스 가입</t>
        </is>
      </c>
      <c r="B11" s="22" t="n">
        <v>0</v>
      </c>
      <c r="C11" s="22" t="n">
        <v>0</v>
      </c>
      <c r="D11" s="22" t="n">
        <v>0</v>
      </c>
      <c r="E11" s="22" t="n">
        <v>50121702.37</v>
      </c>
      <c r="F11" s="22" t="n">
        <v>86573849.54000001</v>
      </c>
      <c r="G11" s="22" t="n">
        <v>106729742.7</v>
      </c>
      <c r="H11" s="22" t="n">
        <v>114663445.3</v>
      </c>
      <c r="I11" s="22" t="n">
        <v>115789173.4</v>
      </c>
      <c r="J11" s="22" t="n">
        <v>107212197.6</v>
      </c>
      <c r="K11" s="22" t="n">
        <v>101851587.7</v>
      </c>
      <c r="L11" s="22" t="n">
        <v>101315526.7</v>
      </c>
      <c r="M11" s="22" t="n">
        <v>100243404.7</v>
      </c>
      <c r="N11" s="22">
        <f>SUM(B11:M11)</f>
        <v/>
      </c>
    </row>
    <row r="12">
      <c r="A12" s="21" t="inlineStr">
        <is>
          <t xml:space="preserve">            EW 2.0</t>
        </is>
      </c>
      <c r="B12" s="22" t="n">
        <v>0</v>
      </c>
      <c r="C12" s="22" t="n">
        <v>0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8000000</v>
      </c>
      <c r="K12" s="22" t="n">
        <v>16000000</v>
      </c>
      <c r="L12" s="22" t="n">
        <v>16000000</v>
      </c>
      <c r="M12" s="22" t="n">
        <v>16000000</v>
      </c>
      <c r="N12" s="22">
        <f>SUM(B12:M12)</f>
        <v/>
      </c>
    </row>
    <row r="13">
      <c r="A13" s="5" t="inlineStr">
        <is>
          <t xml:space="preserve">      딜러 광고</t>
        </is>
      </c>
      <c r="B13" s="6" t="n">
        <v>6280050</v>
      </c>
      <c r="C13" s="6" t="n">
        <v>6280050</v>
      </c>
      <c r="D13" s="6" t="n">
        <v>6280050</v>
      </c>
      <c r="E13" s="6" t="n">
        <v>6280050</v>
      </c>
      <c r="F13" s="6" t="n">
        <v>6280050</v>
      </c>
      <c r="G13" s="6" t="n">
        <v>6280050</v>
      </c>
      <c r="H13" s="6" t="n">
        <v>6280050</v>
      </c>
      <c r="I13" s="6" t="n">
        <v>6280050</v>
      </c>
      <c r="J13" s="6" t="n">
        <v>6280050</v>
      </c>
      <c r="K13" s="6" t="n">
        <v>6280050</v>
      </c>
      <c r="L13" s="6" t="n">
        <v>6280050</v>
      </c>
      <c r="M13" s="6" t="n">
        <v>6280050</v>
      </c>
      <c r="N13" s="6">
        <f>SUM(B13:M13)</f>
        <v/>
      </c>
    </row>
    <row r="14">
      <c r="A14" s="5" t="inlineStr">
        <is>
          <t xml:space="preserve">      EW 2.0 광고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4000000</v>
      </c>
      <c r="K14" s="6" t="n">
        <v>8000000</v>
      </c>
      <c r="L14" s="6" t="n">
        <v>8000000</v>
      </c>
      <c r="M14" s="6" t="n">
        <v>8000000</v>
      </c>
      <c r="N14" s="6">
        <f>SUM(B14:M14)</f>
        <v/>
      </c>
    </row>
    <row r="15">
      <c r="A15" s="5" t="inlineStr">
        <is>
          <t xml:space="preserve">      정비 쿠폰</t>
        </is>
      </c>
      <c r="B15" s="6" t="n">
        <v>0</v>
      </c>
      <c r="C15" s="6" t="n">
        <v>0</v>
      </c>
      <c r="D15" s="6" t="n">
        <v>0</v>
      </c>
      <c r="E15" s="6" t="n">
        <v>4607565.953</v>
      </c>
      <c r="F15" s="6" t="n">
        <v>7958523.009</v>
      </c>
      <c r="G15" s="6" t="n">
        <v>9811405.146</v>
      </c>
      <c r="H15" s="6" t="n">
        <v>10540731.09</v>
      </c>
      <c r="I15" s="6" t="n">
        <v>10644216.53</v>
      </c>
      <c r="J15" s="6" t="n">
        <v>9855756.048</v>
      </c>
      <c r="K15" s="6" t="n">
        <v>9362968.245999999</v>
      </c>
      <c r="L15" s="6" t="n">
        <v>9313689.466</v>
      </c>
      <c r="M15" s="6" t="n">
        <v>9215131.904999999</v>
      </c>
      <c r="N15" s="6">
        <f>SUM(B15:M15)</f>
        <v/>
      </c>
    </row>
    <row r="16">
      <c r="A16" s="5" t="inlineStr">
        <is>
          <t xml:space="preserve">      정비 바우처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10540731.09</v>
      </c>
      <c r="I16" s="6" t="n">
        <v>21288433.06</v>
      </c>
      <c r="J16" s="6" t="n">
        <v>19711512.1</v>
      </c>
      <c r="K16" s="6" t="n">
        <v>18725936.49</v>
      </c>
      <c r="L16" s="6" t="n">
        <v>18627378.93</v>
      </c>
      <c r="M16" s="6" t="n">
        <v>18430263.81</v>
      </c>
      <c r="N16" s="6">
        <f>SUM(B16:M16)</f>
        <v/>
      </c>
    </row>
    <row r="17">
      <c r="A17" s="14" t="inlineStr">
        <is>
          <t xml:space="preserve">  [실적]</t>
        </is>
      </c>
    </row>
    <row r="18">
      <c r="A18" s="15" t="inlineStr">
        <is>
          <t>사업 매출 (거래액)</t>
        </is>
      </c>
      <c r="B18" s="8" t="n">
        <v>293148145.5</v>
      </c>
      <c r="C18" s="8" t="n">
        <v>299294300</v>
      </c>
      <c r="D18" s="8" t="n">
        <v>445862063.6</v>
      </c>
      <c r="E18" s="8" t="n">
        <v>401177181.8</v>
      </c>
      <c r="F18" s="8" t="n">
        <v>459019390.9</v>
      </c>
      <c r="G18" s="8" t="n"/>
      <c r="H18" s="8" t="n"/>
      <c r="I18" s="8" t="n"/>
      <c r="J18" s="8" t="n"/>
      <c r="K18" s="8" t="n"/>
      <c r="L18" s="8" t="n"/>
      <c r="M18" s="8" t="n"/>
      <c r="N18" s="8">
        <f>SUM(B18:M18)</f>
        <v/>
      </c>
    </row>
    <row r="19">
      <c r="A19" s="9" t="inlineStr">
        <is>
          <t>매출 달성률 (총)</t>
        </is>
      </c>
      <c r="B19" s="10">
        <f>IF(B18=0,"",IFERROR(B18/B7,""))</f>
        <v/>
      </c>
      <c r="C19" s="10">
        <f>IF(C18=0,"",IFERROR(C18/C7,""))</f>
        <v/>
      </c>
      <c r="D19" s="10">
        <f>IF(D18=0,"",IFERROR(D18/D7,""))</f>
        <v/>
      </c>
      <c r="E19" s="10">
        <f>IF(E18=0,"",IFERROR(E18/E7,""))</f>
        <v/>
      </c>
      <c r="F19" s="10">
        <f>IF(F18=0,"",IFERROR(F18/F7,""))</f>
        <v/>
      </c>
      <c r="G19" s="10">
        <f>IF(G18=0,"",IFERROR(G18/G7,""))</f>
        <v/>
      </c>
      <c r="H19" s="10">
        <f>IF(H18=0,"",IFERROR(H18/H7,""))</f>
        <v/>
      </c>
      <c r="I19" s="10">
        <f>IF(I18=0,"",IFERROR(I18/I7,""))</f>
        <v/>
      </c>
      <c r="J19" s="10">
        <f>IF(J18=0,"",IFERROR(J18/J7,""))</f>
        <v/>
      </c>
      <c r="K19" s="10">
        <f>IF(K18=0,"",IFERROR(K18/K7,""))</f>
        <v/>
      </c>
      <c r="L19" s="10">
        <f>IF(L18=0,"",IFERROR(L18/L7,""))</f>
        <v/>
      </c>
      <c r="M19" s="10">
        <f>IF(M18=0,"",IFERROR(M18/M7,""))</f>
        <v/>
      </c>
      <c r="N19" s="11">
        <f>IF(N18=0,"",IFERROR(N18/N7,""))</f>
        <v/>
      </c>
    </row>
    <row r="21">
      <c r="A21" s="4" t="inlineStr">
        <is>
          <t>Ⅱ. (참고) 안분 매출 — 재무팀 기준</t>
        </is>
      </c>
    </row>
    <row r="22">
      <c r="A22" s="15" t="inlineStr">
        <is>
          <t>안분 매출 (계획)</t>
        </is>
      </c>
      <c r="B22" s="16" t="n">
        <v>259801385</v>
      </c>
      <c r="C22" s="16" t="n">
        <v>269666964.9</v>
      </c>
      <c r="D22" s="16" t="n">
        <v>245876279.1</v>
      </c>
      <c r="E22" s="16" t="n">
        <v>324352847.1</v>
      </c>
      <c r="F22" s="16" t="n">
        <v>403097807</v>
      </c>
      <c r="G22" s="16" t="n">
        <v>402229650.4</v>
      </c>
      <c r="H22" s="16" t="n">
        <v>486853515.2</v>
      </c>
      <c r="I22" s="16" t="n">
        <v>519270301.4</v>
      </c>
      <c r="J22" s="16" t="n">
        <v>520765118</v>
      </c>
      <c r="K22" s="16" t="n">
        <v>491867962.9</v>
      </c>
      <c r="L22" s="16" t="n">
        <v>477265098.5</v>
      </c>
      <c r="M22" s="16" t="n">
        <v>474629587.5</v>
      </c>
      <c r="N22" s="16">
        <f>SUM(B22:M22)</f>
        <v/>
      </c>
    </row>
    <row r="23">
      <c r="A23" s="15" t="inlineStr">
        <is>
          <t>안분 매출 (실적)</t>
        </is>
      </c>
      <c r="B23" s="8" t="n">
        <v>286333145</v>
      </c>
      <c r="C23" s="8" t="n">
        <v>301034300</v>
      </c>
      <c r="D23" s="8" t="n">
        <v>296383272.7</v>
      </c>
      <c r="E23" s="8" t="n">
        <v>347207980</v>
      </c>
      <c r="F23" s="8" t="n">
        <v>380095593.6</v>
      </c>
      <c r="G23" s="8" t="n">
        <v>371514409.1</v>
      </c>
      <c r="H23" s="8" t="n">
        <v>238448790</v>
      </c>
      <c r="I23" s="8" t="n">
        <v>120534908.2</v>
      </c>
      <c r="J23" s="8" t="n"/>
      <c r="K23" s="8" t="n"/>
      <c r="L23" s="8" t="n"/>
      <c r="M23" s="8" t="n"/>
      <c r="N23" s="8">
        <f>SUM(B23:M23)</f>
        <v/>
      </c>
    </row>
    <row r="24">
      <c r="A24" s="9" t="inlineStr">
        <is>
          <t>안분 매출 달성률</t>
        </is>
      </c>
      <c r="B24" s="10">
        <f>IF(B23=0,"",IFERROR(B23/B22,""))</f>
        <v/>
      </c>
      <c r="C24" s="10">
        <f>IF(C23=0,"",IFERROR(C23/C22,""))</f>
        <v/>
      </c>
      <c r="D24" s="10">
        <f>IF(D23=0,"",IFERROR(D23/D22,""))</f>
        <v/>
      </c>
      <c r="E24" s="10">
        <f>IF(E23=0,"",IFERROR(E23/E22,""))</f>
        <v/>
      </c>
      <c r="F24" s="10">
        <f>IF(F23=0,"",IFERROR(F23/F22,""))</f>
        <v/>
      </c>
      <c r="G24" s="10">
        <f>IF(G23=0,"",IFERROR(G23/G22,""))</f>
        <v/>
      </c>
      <c r="H24" s="10">
        <f>IF(H23=0,"",IFERROR(H23/H22,""))</f>
        <v/>
      </c>
      <c r="I24" s="10">
        <f>IF(I23=0,"",IFERROR(I23/I22,""))</f>
        <v/>
      </c>
      <c r="J24" s="10">
        <f>IF(J23=0,"",IFERROR(J23/J22,""))</f>
        <v/>
      </c>
      <c r="K24" s="10">
        <f>IF(K23=0,"",IFERROR(K23/K22,""))</f>
        <v/>
      </c>
      <c r="L24" s="10">
        <f>IF(L23=0,"",IFERROR(L23/L22,""))</f>
        <v/>
      </c>
      <c r="M24" s="10">
        <f>IF(M23=0,"",IFERROR(M23/M22,""))</f>
        <v/>
      </c>
      <c r="N24" s="11">
        <f>IF(N23=0,"",IFERROR(N23/N22,""))</f>
        <v/>
      </c>
    </row>
    <row r="26">
      <c r="A26" s="4" t="inlineStr">
        <is>
          <t>Ⅲ. 가입 건수</t>
        </is>
      </c>
    </row>
    <row r="27">
      <c r="A27" s="15" t="inlineStr">
        <is>
          <t>가입 건수 (계획)</t>
        </is>
      </c>
      <c r="B27" s="16">
        <f>B28+B29</f>
        <v/>
      </c>
      <c r="C27" s="16">
        <f>C28+C29</f>
        <v/>
      </c>
      <c r="D27" s="16">
        <f>D28+D29</f>
        <v/>
      </c>
      <c r="E27" s="16">
        <f>E28+E29</f>
        <v/>
      </c>
      <c r="F27" s="16">
        <f>F28+F29</f>
        <v/>
      </c>
      <c r="G27" s="16">
        <f>G28+G29</f>
        <v/>
      </c>
      <c r="H27" s="16">
        <f>H28+H29</f>
        <v/>
      </c>
      <c r="I27" s="16">
        <f>I28+I29</f>
        <v/>
      </c>
      <c r="J27" s="16">
        <f>J28+J29</f>
        <v/>
      </c>
      <c r="K27" s="16">
        <f>K28+K29</f>
        <v/>
      </c>
      <c r="L27" s="16">
        <f>L28+L29</f>
        <v/>
      </c>
      <c r="M27" s="16">
        <f>M28+M29</f>
        <v/>
      </c>
      <c r="N27" s="16">
        <f>SUM(B27:M27)</f>
        <v/>
      </c>
    </row>
    <row r="28">
      <c r="A28" s="5" t="inlineStr">
        <is>
          <t xml:space="preserve">      국산 홈서비스</t>
        </is>
      </c>
      <c r="B28" s="6" t="n">
        <v>707.1504965</v>
      </c>
      <c r="C28" s="6" t="n">
        <v>614.342127</v>
      </c>
      <c r="D28" s="6" t="n">
        <v>819.2597215</v>
      </c>
      <c r="E28" s="6" t="n">
        <v>921.5131905</v>
      </c>
      <c r="F28" s="6" t="n">
        <v>795.8523009</v>
      </c>
      <c r="G28" s="6" t="n">
        <v>981.1405146</v>
      </c>
      <c r="H28" s="6" t="n">
        <v>1054.073109</v>
      </c>
      <c r="I28" s="6" t="n">
        <v>1064.421653</v>
      </c>
      <c r="J28" s="6" t="n">
        <v>985.5756048</v>
      </c>
      <c r="K28" s="6" t="n">
        <v>936.2968246</v>
      </c>
      <c r="L28" s="6" t="n">
        <v>931.3689466</v>
      </c>
      <c r="M28" s="6" t="n">
        <v>921.5131905</v>
      </c>
      <c r="N28" s="6">
        <f>SUM(B28:M28)</f>
        <v/>
      </c>
    </row>
    <row r="29">
      <c r="A29" s="5" t="inlineStr">
        <is>
          <t xml:space="preserve">      딜러</t>
        </is>
      </c>
      <c r="B29" s="6" t="n">
        <v>21.21451489</v>
      </c>
      <c r="C29" s="6" t="n">
        <v>18.43026381</v>
      </c>
      <c r="D29" s="6" t="n">
        <v>24.57779165</v>
      </c>
      <c r="E29" s="6" t="n">
        <v>27.64539572</v>
      </c>
      <c r="F29" s="6" t="n">
        <v>23.87556903</v>
      </c>
      <c r="G29" s="6" t="n">
        <v>29.43421544</v>
      </c>
      <c r="H29" s="6" t="n">
        <v>31.62219328</v>
      </c>
      <c r="I29" s="6" t="n">
        <v>31.9326496</v>
      </c>
      <c r="J29" s="6" t="n">
        <v>29.56726815</v>
      </c>
      <c r="K29" s="6" t="n">
        <v>28.08890474</v>
      </c>
      <c r="L29" s="6" t="n">
        <v>27.9410684</v>
      </c>
      <c r="M29" s="6" t="n">
        <v>27.64539572</v>
      </c>
      <c r="N29" s="6">
        <f>SUM(B29:M29)</f>
        <v/>
      </c>
    </row>
    <row r="30">
      <c r="A30" s="15" t="inlineStr">
        <is>
          <t>수입 EW 가입 건수</t>
        </is>
      </c>
      <c r="B30" s="16" t="n">
        <v>0</v>
      </c>
      <c r="C30" s="16" t="n">
        <v>0</v>
      </c>
      <c r="D30" s="16" t="n">
        <v>0</v>
      </c>
      <c r="E30" s="16" t="n">
        <v>50.12170237</v>
      </c>
      <c r="F30" s="16" t="n">
        <v>86.57384954</v>
      </c>
      <c r="G30" s="16" t="n">
        <v>106.7297427</v>
      </c>
      <c r="H30" s="16" t="n">
        <v>114.6634453</v>
      </c>
      <c r="I30" s="16" t="n">
        <v>115.7891734</v>
      </c>
      <c r="J30" s="16" t="n">
        <v>107.2121976</v>
      </c>
      <c r="K30" s="16" t="n">
        <v>101.8515877</v>
      </c>
      <c r="L30" s="16" t="n">
        <v>101.3155267</v>
      </c>
      <c r="M30" s="16" t="n">
        <v>100.2434047</v>
      </c>
      <c r="N30" s="16">
        <f>SUM(B30:M30)</f>
        <v/>
      </c>
    </row>
    <row r="31">
      <c r="A31" s="15" t="inlineStr">
        <is>
          <t>광고 건수</t>
        </is>
      </c>
      <c r="B31" s="16" t="n">
        <v>350</v>
      </c>
      <c r="C31" s="16" t="n">
        <v>350</v>
      </c>
      <c r="D31" s="16" t="n">
        <v>350</v>
      </c>
      <c r="E31" s="16" t="n">
        <v>350</v>
      </c>
      <c r="F31" s="16" t="n">
        <v>350</v>
      </c>
      <c r="G31" s="16" t="n">
        <v>350</v>
      </c>
      <c r="H31" s="16" t="n">
        <v>350</v>
      </c>
      <c r="I31" s="16" t="n">
        <v>350</v>
      </c>
      <c r="J31" s="16" t="n">
        <v>350</v>
      </c>
      <c r="K31" s="16" t="n">
        <v>350</v>
      </c>
      <c r="L31" s="16" t="n">
        <v>350</v>
      </c>
      <c r="M31" s="16" t="n">
        <v>350</v>
      </c>
      <c r="N31" s="16">
        <f>SUM(B31:M31)</f>
        <v/>
      </c>
    </row>
    <row r="32">
      <c r="A32" s="15" t="inlineStr">
        <is>
          <t>정비 쿠폰 건수</t>
        </is>
      </c>
      <c r="B32" s="16" t="n">
        <v>0</v>
      </c>
      <c r="C32" s="16" t="n">
        <v>0</v>
      </c>
      <c r="D32" s="16" t="n">
        <v>0</v>
      </c>
      <c r="E32" s="16" t="n">
        <v>230.3782976</v>
      </c>
      <c r="F32" s="16" t="n">
        <v>397.9261505</v>
      </c>
      <c r="G32" s="16" t="n">
        <v>490.5702573</v>
      </c>
      <c r="H32" s="16" t="n">
        <v>527.0365547</v>
      </c>
      <c r="I32" s="16" t="n">
        <v>532.2108266</v>
      </c>
      <c r="J32" s="16" t="n">
        <v>492.7878024</v>
      </c>
      <c r="K32" s="16" t="n">
        <v>468.1484123</v>
      </c>
      <c r="L32" s="16" t="n">
        <v>465.6844733</v>
      </c>
      <c r="M32" s="16" t="n">
        <v>460.7565953</v>
      </c>
      <c r="N32" s="16">
        <f>SUM(B32:M32)</f>
        <v/>
      </c>
    </row>
    <row r="33">
      <c r="A33" s="15" t="inlineStr">
        <is>
          <t>정비 바우처 건수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  <c r="G33" s="16" t="n">
        <v>0</v>
      </c>
      <c r="H33" s="16" t="n">
        <v>10.54073109</v>
      </c>
      <c r="I33" s="16" t="n">
        <v>21.28843306</v>
      </c>
      <c r="J33" s="16" t="n">
        <v>19.7115121</v>
      </c>
      <c r="K33" s="16" t="n">
        <v>18.72593649</v>
      </c>
      <c r="L33" s="16" t="n">
        <v>18.62737893</v>
      </c>
      <c r="M33" s="16" t="n">
        <v>18.43026381</v>
      </c>
      <c r="N33" s="16">
        <f>SUM(B33:M33)</f>
        <v/>
      </c>
    </row>
    <row r="34">
      <c r="A34" s="4" t="inlineStr">
        <is>
          <t>Ⅳ. 비용 / 이익</t>
        </is>
      </c>
    </row>
    <row r="35">
      <c r="A35" s="15" t="inlineStr">
        <is>
          <t>사업 비용 총계 (계획)</t>
        </is>
      </c>
      <c r="B35" s="16">
        <f>B36+B37</f>
        <v/>
      </c>
      <c r="C35" s="16">
        <f>C36+C37</f>
        <v/>
      </c>
      <c r="D35" s="16">
        <f>D36+D37</f>
        <v/>
      </c>
      <c r="E35" s="16">
        <f>E36+E37</f>
        <v/>
      </c>
      <c r="F35" s="16">
        <f>F36+F37</f>
        <v/>
      </c>
      <c r="G35" s="16">
        <f>G36+G37</f>
        <v/>
      </c>
      <c r="H35" s="16">
        <f>H36+H37</f>
        <v/>
      </c>
      <c r="I35" s="16">
        <f>I36+I37</f>
        <v/>
      </c>
      <c r="J35" s="16">
        <f>J36+J37</f>
        <v/>
      </c>
      <c r="K35" s="16">
        <f>K36+K37</f>
        <v/>
      </c>
      <c r="L35" s="16">
        <f>L36+L37</f>
        <v/>
      </c>
      <c r="M35" s="16">
        <f>M36+M37</f>
        <v/>
      </c>
      <c r="N35" s="16">
        <f>SUM(B35:M35)</f>
        <v/>
      </c>
    </row>
    <row r="36">
      <c r="A36" s="5" t="inlineStr">
        <is>
          <t xml:space="preserve">      클레임 비용</t>
        </is>
      </c>
      <c r="B36" s="6" t="n">
        <v>70603802.29000001</v>
      </c>
      <c r="C36" s="6" t="n">
        <v>61337565.75</v>
      </c>
      <c r="D36" s="6" t="n">
        <v>81797088.01000001</v>
      </c>
      <c r="E36" s="6" t="n">
        <v>96864877.95</v>
      </c>
      <c r="F36" s="6" t="n">
        <v>87852033.55</v>
      </c>
      <c r="G36" s="6" t="n">
        <v>108305510.1</v>
      </c>
      <c r="H36" s="6" t="n">
        <v>116356346.6</v>
      </c>
      <c r="I36" s="6" t="n">
        <v>117498695</v>
      </c>
      <c r="J36" s="6" t="n">
        <v>108795088</v>
      </c>
      <c r="K36" s="6" t="n">
        <v>103355333.6</v>
      </c>
      <c r="L36" s="6" t="n">
        <v>102811358.1</v>
      </c>
      <c r="M36" s="6" t="n">
        <v>101723407.3</v>
      </c>
      <c r="N36" s="6">
        <f>SUM(B36:M36)</f>
        <v/>
      </c>
    </row>
    <row r="37">
      <c r="A37" s="5" t="inlineStr">
        <is>
          <t xml:space="preserve">      딜러 인센티브</t>
        </is>
      </c>
      <c r="B37" s="6" t="n">
        <v>1775681.434</v>
      </c>
      <c r="C37" s="6" t="n">
        <v>1542636.136</v>
      </c>
      <c r="D37" s="6" t="n">
        <v>2057191.906</v>
      </c>
      <c r="E37" s="6" t="n">
        <v>2313954.204</v>
      </c>
      <c r="F37" s="6" t="n">
        <v>1998414.994</v>
      </c>
      <c r="G37" s="6" t="n">
        <v>2463680.652</v>
      </c>
      <c r="H37" s="6" t="n">
        <v>3465000</v>
      </c>
      <c r="I37" s="6" t="n">
        <v>3465000</v>
      </c>
      <c r="J37" s="6" t="n">
        <v>3465000</v>
      </c>
      <c r="K37" s="6" t="n">
        <v>3465000</v>
      </c>
      <c r="L37" s="6" t="n">
        <v>3465000</v>
      </c>
      <c r="M37" s="6" t="n">
        <v>3465000</v>
      </c>
      <c r="N37" s="6">
        <f>SUM(B37:M37)</f>
        <v/>
      </c>
    </row>
    <row r="38">
      <c r="A38" s="5" t="inlineStr">
        <is>
          <t>사업 이익 (계획) = 매출 − 비용</t>
        </is>
      </c>
      <c r="B38" s="6">
        <f>B7-B35</f>
        <v/>
      </c>
      <c r="C38" s="6">
        <f>C7-C35</f>
        <v/>
      </c>
      <c r="D38" s="6">
        <f>D7-D35</f>
        <v/>
      </c>
      <c r="E38" s="6">
        <f>E7-E35</f>
        <v/>
      </c>
      <c r="F38" s="6">
        <f>F7-F35</f>
        <v/>
      </c>
      <c r="G38" s="6">
        <f>G7-G35</f>
        <v/>
      </c>
      <c r="H38" s="6">
        <f>H7-H35</f>
        <v/>
      </c>
      <c r="I38" s="6">
        <f>I7-I35</f>
        <v/>
      </c>
      <c r="J38" s="6">
        <f>J7-J35</f>
        <v/>
      </c>
      <c r="K38" s="6">
        <f>K7-K35</f>
        <v/>
      </c>
      <c r="L38" s="6">
        <f>L7-L35</f>
        <v/>
      </c>
      <c r="M38" s="6">
        <f>M7-M35</f>
        <v/>
      </c>
      <c r="N38" s="6">
        <f>SUM(B38:M38)</f>
        <v/>
      </c>
    </row>
    <row r="39">
      <c r="A39" s="9" t="inlineStr">
        <is>
          <t>이익률 = 이익 ÷ 매출</t>
        </is>
      </c>
      <c r="B39" s="10">
        <f>IFERROR(B38/B7,"")</f>
        <v/>
      </c>
      <c r="C39" s="10">
        <f>IFERROR(C38/C7,"")</f>
        <v/>
      </c>
      <c r="D39" s="10">
        <f>IFERROR(D38/D7,"")</f>
        <v/>
      </c>
      <c r="E39" s="10">
        <f>IFERROR(E38/E7,"")</f>
        <v/>
      </c>
      <c r="F39" s="10">
        <f>IFERROR(F38/F7,"")</f>
        <v/>
      </c>
      <c r="G39" s="10">
        <f>IFERROR(G38/G7,"")</f>
        <v/>
      </c>
      <c r="H39" s="10">
        <f>IFERROR(H38/H7,"")</f>
        <v/>
      </c>
      <c r="I39" s="10">
        <f>IFERROR(I38/I7,"")</f>
        <v/>
      </c>
      <c r="J39" s="10">
        <f>IFERROR(J38/J7,"")</f>
        <v/>
      </c>
      <c r="K39" s="10">
        <f>IFERROR(K38/K7,"")</f>
        <v/>
      </c>
      <c r="L39" s="10">
        <f>IFERROR(L38/L7,"")</f>
        <v/>
      </c>
      <c r="M39" s="10">
        <f>IFERROR(M38/M7,"")</f>
        <v/>
      </c>
      <c r="N39" s="11">
        <f>IFERROR(N38/N7,"")</f>
        <v/>
      </c>
    </row>
    <row r="40">
      <c r="A40" s="15" t="inlineStr">
        <is>
          <t>영업일</t>
        </is>
      </c>
      <c r="B40" s="16" t="n">
        <v>21</v>
      </c>
      <c r="C40" s="16" t="n">
        <v>17</v>
      </c>
      <c r="D40" s="16" t="n">
        <v>21</v>
      </c>
      <c r="E40" s="16" t="n">
        <v>22</v>
      </c>
      <c r="F40" s="16" t="n">
        <v>18</v>
      </c>
      <c r="G40" s="16" t="n">
        <v>22</v>
      </c>
      <c r="H40" s="16" t="n">
        <v>23</v>
      </c>
      <c r="I40" s="16" t="n">
        <v>20</v>
      </c>
      <c r="J40" s="16" t="n">
        <v>20</v>
      </c>
      <c r="K40" s="16" t="n">
        <v>21</v>
      </c>
      <c r="L40" s="16" t="n">
        <v>21</v>
      </c>
      <c r="M40" s="16" t="n">
        <v>22</v>
      </c>
      <c r="N40" s="16">
        <f>SUM(B40:M40)</f>
        <v/>
      </c>
    </row>
  </sheetData>
  <mergeCells count="9">
    <mergeCell ref="A17:N17"/>
    <mergeCell ref="A6:N6"/>
    <mergeCell ref="A34:N34"/>
    <mergeCell ref="A4:N4"/>
    <mergeCell ref="A26:N26"/>
    <mergeCell ref="A21:N21"/>
    <mergeCell ref="A2:N2"/>
    <mergeCell ref="A5:N5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2026-06-16T23:24:20Z</dcterms:created>
  <dcterms:modified xmlns:dcterms="http://purl.org/dc/terms/" xmlns:xsi="http://www.w3.org/2001/XMLSchema-instance" xsi:type="dcterms:W3CDTF">2026-06-16T23:24:20Z</dcterms:modified>
</cp:coreProperties>
</file>